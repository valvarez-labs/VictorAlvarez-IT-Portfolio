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" sheetId="1" r:id="rId5"/>
    <sheet state="visible" name="curriculum" sheetId="2" r:id="rId6"/>
    <sheet state="visible" name="Horari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6">
      <text>
        <t xml:space="preserve">Alta disponibilitat+virt</t>
      </text>
    </comment>
    <comment authorId="0" ref="F133">
      <text>
        <t xml:space="preserve">Implantació de tècniques d'accés remot. Seguretat perimètrica</t>
      </text>
    </comment>
    <comment authorId="0" ref="F100">
      <text>
        <t xml:space="preserve">Sostenibilitat</t>
      </text>
    </comment>
    <comment authorId="0" ref="F67">
      <text>
        <t xml:space="preserve">Seguretat física i lògica
</t>
      </text>
    </comment>
    <comment authorId="0" ref="I166">
      <text>
        <t xml:space="preserve">Alta disponibilitat+virt</t>
      </text>
    </comment>
    <comment authorId="0" ref="F34">
      <text>
        <t xml:space="preserve">Seguretat activa: Monitoratge, atacs, detectors intrusos
</t>
      </text>
    </comment>
    <comment authorId="0" ref="I133">
      <text>
        <t xml:space="preserve">Implantació de tècniques d'accés remot. Seguretat perimètrica</t>
      </text>
    </comment>
    <comment authorId="0" ref="I100">
      <text>
        <t xml:space="preserve">Sostenibilitat</t>
      </text>
    </comment>
    <comment authorId="0" ref="I67">
      <text>
        <t xml:space="preserve">Seguretat física i lògica
</t>
      </text>
    </comment>
    <comment authorId="0" ref="I34">
      <text>
        <t xml:space="preserve">Seguretat activa: Monitoratge, atacs, detectors intrusos
</t>
      </text>
    </comment>
    <comment authorId="0" ref="F183">
      <text>
        <t xml:space="preserve">Alta disponibilitat+virt</t>
      </text>
    </comment>
    <comment authorId="0" ref="F150">
      <text>
        <t xml:space="preserve">servidors intermediaris</t>
      </text>
    </comment>
    <comment authorId="0" ref="F84">
      <text>
        <t xml:space="preserve">Legislació</t>
      </text>
    </comment>
    <comment authorId="0" ref="I183">
      <text>
        <t xml:space="preserve">Alta disponibilitat+virt</t>
      </text>
    </comment>
    <comment authorId="0" ref="F51">
      <text>
        <t xml:space="preserve">Tallafocs</t>
      </text>
    </comment>
    <comment authorId="0" ref="I150">
      <text>
        <t xml:space="preserve">servidors intermediaris</t>
      </text>
    </comment>
    <comment authorId="0" ref="F18">
      <text>
        <t xml:space="preserve">Seguretat activa: Monitoratge, atacs, detectors intrusos
</t>
      </text>
    </comment>
    <comment authorId="0" ref="I84">
      <text>
        <t xml:space="preserve">Legislació</t>
      </text>
    </comment>
    <comment authorId="0" ref="I51">
      <text>
        <t xml:space="preserve">Tallafocs</t>
      </text>
    </comment>
    <comment authorId="0" ref="I18">
      <text>
        <t xml:space="preserve">Seguretat activa: Monitoratge, atacs, detectors intrusos
</t>
      </text>
    </comment>
    <comment authorId="0" ref="F167">
      <text>
        <t xml:space="preserve">Alta disponibilitat+virt</t>
      </text>
    </comment>
    <comment authorId="0" ref="F134">
      <text>
        <t xml:space="preserve">Implantació de tècniques d'accés remot. Seguretat perimètrica</t>
      </text>
    </comment>
    <comment authorId="0" ref="F101">
      <text>
        <t xml:space="preserve">Sostenibilitat</t>
      </text>
    </comment>
    <comment authorId="0" ref="F68">
      <text>
        <t xml:space="preserve">Seguretat física i lògica
</t>
      </text>
    </comment>
    <comment authorId="0" ref="I167">
      <text>
        <t xml:space="preserve">Alta disponibilitat+virt</t>
      </text>
    </comment>
    <comment authorId="0" ref="F35">
      <text>
        <t xml:space="preserve">Seguretat activa: Monitoratge, atacs, detectors intrusos
</t>
      </text>
    </comment>
    <comment authorId="0" ref="I134">
      <text>
        <t xml:space="preserve">Implantació de tècniques d'accés remot. Seguretat perimètrica</t>
      </text>
    </comment>
    <comment authorId="0" ref="I101">
      <text>
        <t xml:space="preserve">Sostenibilitat</t>
      </text>
    </comment>
    <comment authorId="0" ref="I68">
      <text>
        <t xml:space="preserve">Seguretat física i lògica
</t>
      </text>
    </comment>
    <comment authorId="0" ref="I35">
      <text>
        <t xml:space="preserve">Seguretat activa: Monitoratge, atacs, detectors intrusos
</t>
      </text>
    </comment>
    <comment authorId="0" ref="F184">
      <text>
        <t xml:space="preserve">Alta disponibilitat+virt</t>
      </text>
    </comment>
    <comment authorId="0" ref="F151">
      <text>
        <t xml:space="preserve">servidors intermediaris</t>
      </text>
    </comment>
    <comment authorId="0" ref="F85">
      <text>
        <t xml:space="preserve">Legislació</t>
      </text>
    </comment>
    <comment authorId="0" ref="I184">
      <text>
        <t xml:space="preserve">Alta disponibilitat+virt</t>
      </text>
    </comment>
    <comment authorId="0" ref="F52">
      <text>
        <t xml:space="preserve">Tallafocs</t>
      </text>
    </comment>
    <comment authorId="0" ref="I151">
      <text>
        <t xml:space="preserve">servidors intermediaris</t>
      </text>
    </comment>
    <comment authorId="0" ref="F19">
      <text>
        <t xml:space="preserve">Seguretat activa: Monitoratge, atacs, detectors intrusos
</t>
      </text>
    </comment>
    <comment authorId="0" ref="I85">
      <text>
        <t xml:space="preserve">Legislació</t>
      </text>
    </comment>
    <comment authorId="0" ref="I52">
      <text>
        <t xml:space="preserve">Tallafocs</t>
      </text>
    </comment>
    <comment authorId="0" ref="I19">
      <text>
        <t xml:space="preserve">Seguretat activa: Monitoratge, atacs, detectors intrusos
</t>
      </text>
    </comment>
    <comment authorId="0" ref="F168">
      <text>
        <t xml:space="preserve">Alta disponibilitat+virt</t>
      </text>
    </comment>
    <comment authorId="0" ref="F135">
      <text>
        <t xml:space="preserve">Implantació de tècniques d'accés remot. Seguretat perimètrica</t>
      </text>
    </comment>
    <comment authorId="0" ref="F102">
      <text>
        <t xml:space="preserve">Sostenibilitat</t>
      </text>
    </comment>
    <comment authorId="0" ref="F69">
      <text>
        <t xml:space="preserve">Seguretat física i lògica
</t>
      </text>
    </comment>
    <comment authorId="0" ref="I168">
      <text>
        <t xml:space="preserve">Alta disponibilitat+virt</t>
      </text>
    </comment>
    <comment authorId="0" ref="F36">
      <text>
        <t xml:space="preserve">Seguretat activa: Monitoratge, atacs, detectors intrusos
</t>
      </text>
    </comment>
    <comment authorId="0" ref="I135">
      <text>
        <t xml:space="preserve">Implantació de tècniques d'accés remot. Seguretat perimètrica</t>
      </text>
    </comment>
    <comment authorId="0" ref="I102">
      <text>
        <t xml:space="preserve">Sostenibilitat</t>
      </text>
    </comment>
    <comment authorId="0" ref="I69">
      <text>
        <t xml:space="preserve">Seguretat física i lògica
</t>
      </text>
    </comment>
    <comment authorId="0" ref="I36">
      <text>
        <t xml:space="preserve">Seguretat activa: Monitoratge, atacs, detectors intrusos
</t>
      </text>
    </comment>
    <comment authorId="0" ref="F185">
      <text>
        <t xml:space="preserve">Alta disponibilitat+virt</t>
      </text>
    </comment>
    <comment authorId="0" ref="Q3">
      <text>
        <t xml:space="preserve">Seguretat física i lògica
</t>
      </text>
    </comment>
    <comment authorId="0" ref="F152">
      <text>
        <t xml:space="preserve">servidors intermediaris</t>
      </text>
    </comment>
    <comment authorId="0" ref="F86">
      <text>
        <t xml:space="preserve">Legislació</t>
      </text>
    </comment>
    <comment authorId="0" ref="I185">
      <text>
        <t xml:space="preserve">Alta disponibilitat+virt</t>
      </text>
    </comment>
    <comment authorId="0" ref="F53">
      <text>
        <t xml:space="preserve">Tallafocs</t>
      </text>
    </comment>
    <comment authorId="0" ref="I152">
      <text>
        <t xml:space="preserve">servidors intermediaris</t>
      </text>
    </comment>
    <comment authorId="0" ref="F20">
      <text>
        <t xml:space="preserve">Seguretat activa: Monitoratge, atacs, detectors intrusos
</t>
      </text>
    </comment>
    <comment authorId="0" ref="I86">
      <text>
        <t xml:space="preserve">Legislació</t>
      </text>
    </comment>
    <comment authorId="0" ref="I53">
      <text>
        <t xml:space="preserve">Tallafocs</t>
      </text>
    </comment>
    <comment authorId="0" ref="I20">
      <text>
        <t xml:space="preserve">Seguretat activa: Monitoratge, atacs, detectors intrusos
</t>
      </text>
    </comment>
    <comment authorId="0" ref="F169">
      <text>
        <t xml:space="preserve">Alta disponibilitat+virt</t>
      </text>
    </comment>
    <comment authorId="0" ref="F136">
      <text>
        <t xml:space="preserve">Implantació de tècniques d'accés remot. Seguretat perimètrica</t>
      </text>
    </comment>
    <comment authorId="0" ref="F103">
      <text>
        <t xml:space="preserve">Sostenibilitat</t>
      </text>
    </comment>
    <comment authorId="0" ref="F70">
      <text>
        <t xml:space="preserve">Seguretat física i lògica
</t>
      </text>
    </comment>
    <comment authorId="0" ref="I169">
      <text>
        <t xml:space="preserve">Alta disponibilitat+virt</t>
      </text>
    </comment>
    <comment authorId="0" ref="F37">
      <text>
        <t xml:space="preserve">Seguretat activa: Monitoratge, atacs, detectors intrusos
</t>
      </text>
    </comment>
    <comment authorId="0" ref="I136">
      <text>
        <t xml:space="preserve">Implantació de tècniques d'accés remot. Seguretat perimètrica</t>
      </text>
    </comment>
    <comment authorId="0" ref="I103">
      <text>
        <t xml:space="preserve">Sostenibilitat</t>
      </text>
    </comment>
    <comment authorId="0" ref="I70">
      <text>
        <t xml:space="preserve">Seguretat física i lògica
</t>
      </text>
    </comment>
    <comment authorId="0" ref="I37">
      <text>
        <t xml:space="preserve">Seguretat activa: Monitoratge, atacs, detectors intrusos
</t>
      </text>
    </comment>
    <comment authorId="0" ref="F186">
      <text>
        <t xml:space="preserve">Alta disponibilitat+virt</t>
      </text>
    </comment>
    <comment authorId="0" ref="Q4">
      <text>
        <t xml:space="preserve">Seguretat activa: Monitoratge, atacs, detectors intrusos
</t>
      </text>
    </comment>
    <comment authorId="0" ref="F153">
      <text>
        <t xml:space="preserve">servidors intermediaris</t>
      </text>
    </comment>
    <comment authorId="0" ref="F87">
      <text>
        <t xml:space="preserve">Legislació</t>
      </text>
    </comment>
    <comment authorId="0" ref="I186">
      <text>
        <t xml:space="preserve">Alta disponibilitat+virt</t>
      </text>
    </comment>
    <comment authorId="0" ref="F54">
      <text>
        <t xml:space="preserve">Tallafocs</t>
      </text>
    </comment>
    <comment authorId="0" ref="I153">
      <text>
        <t xml:space="preserve">servidors intermediaris</t>
      </text>
    </comment>
    <comment authorId="0" ref="F21">
      <text>
        <t xml:space="preserve">Seguretat activa: Monitoratge, atacs, detectors intrusos
</t>
      </text>
    </comment>
    <comment authorId="0" ref="I87">
      <text>
        <t xml:space="preserve">Legislació</t>
      </text>
    </comment>
    <comment authorId="0" ref="I54">
      <text>
        <t xml:space="preserve">Tallafocs</t>
      </text>
    </comment>
    <comment authorId="0" ref="I21">
      <text>
        <t xml:space="preserve">Seguretat activa: Monitoratge, atacs, detectors intrusos
</t>
      </text>
    </comment>
    <comment authorId="0" ref="F170">
      <text>
        <t xml:space="preserve">Alta disponibilitat+virt</t>
      </text>
    </comment>
    <comment authorId="0" ref="F137">
      <text>
        <t xml:space="preserve">Implantació de tècniques d'accés remot. Seguretat perimètrica</t>
      </text>
    </comment>
    <comment authorId="0" ref="F104">
      <text>
        <t xml:space="preserve">Sostenibilitat</t>
      </text>
    </comment>
    <comment authorId="0" ref="F71">
      <text>
        <t xml:space="preserve">Seguretat física i lògica
</t>
      </text>
    </comment>
    <comment authorId="0" ref="I170">
      <text>
        <t xml:space="preserve">Alta disponibilitat+virt</t>
      </text>
    </comment>
    <comment authorId="0" ref="F38">
      <text>
        <t xml:space="preserve">Seguretat activa: Monitoratge, atacs, detectors intrusos
</t>
      </text>
    </comment>
    <comment authorId="0" ref="I137">
      <text>
        <t xml:space="preserve">Implantació de tècniques d'accés remot. Seguretat perimètrica</t>
      </text>
    </comment>
    <comment authorId="0" ref="I104">
      <text>
        <t xml:space="preserve">Sostenibilitat</t>
      </text>
    </comment>
    <comment authorId="0" ref="I71">
      <text>
        <t xml:space="preserve">Seguretat física i lògica
</t>
      </text>
    </comment>
    <comment authorId="0" ref="I38">
      <text>
        <t xml:space="preserve">Seguretat activa: Monitoratge, atacs, detectors intrusos
</t>
      </text>
    </comment>
    <comment authorId="0" ref="F187">
      <text>
        <t xml:space="preserve">Alta disponibilitat+virt</t>
      </text>
    </comment>
    <comment authorId="0" ref="Q5">
      <text>
        <t xml:space="preserve">Implantació de tècniques d'accés remot. Seguretat perimètrica</t>
      </text>
    </comment>
    <comment authorId="0" ref="F154">
      <text>
        <t xml:space="preserve">servidors intermediaris</t>
      </text>
    </comment>
    <comment authorId="0" ref="F88">
      <text>
        <t xml:space="preserve">Legislació</t>
      </text>
    </comment>
    <comment authorId="0" ref="I187">
      <text>
        <t xml:space="preserve">Alta disponibilitat+virt</t>
      </text>
    </comment>
    <comment authorId="0" ref="F55">
      <text>
        <t xml:space="preserve">Tallafocs</t>
      </text>
    </comment>
    <comment authorId="0" ref="I154">
      <text>
        <t xml:space="preserve">servidors intermediaris</t>
      </text>
    </comment>
    <comment authorId="0" ref="F22">
      <text>
        <t xml:space="preserve">Seguretat activa: Monitoratge, atacs, detectors intrusos
</t>
      </text>
    </comment>
    <comment authorId="0" ref="I88">
      <text>
        <t xml:space="preserve">Legislació</t>
      </text>
    </comment>
    <comment authorId="0" ref="I55">
      <text>
        <t xml:space="preserve">Tallafocs</t>
      </text>
    </comment>
    <comment authorId="0" ref="I22">
      <text>
        <t xml:space="preserve">Seguretat activa: Monitoratge, atacs, detectors intrusos
</t>
      </text>
    </comment>
    <comment authorId="0" ref="F171">
      <text>
        <t xml:space="preserve">Alta disponibilitat+virt</t>
      </text>
    </comment>
    <comment authorId="0" ref="F138">
      <text>
        <t xml:space="preserve">Implantació de tècniques d'accés remot. Seguretat perimètrica</t>
      </text>
    </comment>
    <comment authorId="0" ref="F105">
      <text>
        <t xml:space="preserve">Sostenibilitat</t>
      </text>
    </comment>
    <comment authorId="0" ref="F72">
      <text>
        <t xml:space="preserve">Seguretat física i lògica
</t>
      </text>
    </comment>
    <comment authorId="0" ref="I171">
      <text>
        <t xml:space="preserve">Alta disponibilitat+virt</t>
      </text>
    </comment>
    <comment authorId="0" ref="F39">
      <text>
        <t xml:space="preserve">Tallafocs</t>
      </text>
    </comment>
    <comment authorId="0" ref="I138">
      <text>
        <t xml:space="preserve">Implantació de tècniques d'accés remot. Seguretat perimètrica</t>
      </text>
    </comment>
    <comment authorId="0" ref="I105">
      <text>
        <t xml:space="preserve">Sostenibilitat</t>
      </text>
    </comment>
    <comment authorId="0" ref="I72">
      <text>
        <t xml:space="preserve">Seguretat física i lògica
</t>
      </text>
    </comment>
    <comment authorId="0" ref="I39">
      <text>
        <t xml:space="preserve">Tallafocs</t>
      </text>
    </comment>
    <comment authorId="0" ref="Q6">
      <text>
        <t xml:space="preserve">Tallafocs</t>
      </text>
    </comment>
    <comment authorId="0" ref="F155">
      <text>
        <t xml:space="preserve">servidors intermediaris</t>
      </text>
    </comment>
    <comment authorId="0" ref="F89">
      <text>
        <t xml:space="preserve">Legislació</t>
      </text>
    </comment>
    <comment authorId="0" ref="F56">
      <text>
        <t xml:space="preserve">Tallafocs</t>
      </text>
    </comment>
    <comment authorId="0" ref="I155">
      <text>
        <t xml:space="preserve">servidors intermediaris</t>
      </text>
    </comment>
    <comment authorId="0" ref="F23">
      <text>
        <t xml:space="preserve">Seguretat activa: Monitoratge, atacs, detectors intrusos
</t>
      </text>
    </comment>
    <comment authorId="0" ref="I89">
      <text>
        <t xml:space="preserve">Legislació</t>
      </text>
    </comment>
    <comment authorId="0" ref="I56">
      <text>
        <t xml:space="preserve">Tallafocs</t>
      </text>
    </comment>
    <comment authorId="0" ref="I23">
      <text>
        <t xml:space="preserve">Seguretat activa: Monitoratge, atacs, detectors intrusos
</t>
      </text>
    </comment>
    <comment authorId="0" ref="F172">
      <text>
        <t xml:space="preserve">Alta disponibilitat+virt</t>
      </text>
    </comment>
    <comment authorId="0" ref="F139">
      <text>
        <t xml:space="preserve">Implantació de tècniques d'accés remot. Seguretat perimètrica</t>
      </text>
    </comment>
    <comment authorId="0" ref="F106">
      <text>
        <t xml:space="preserve">Sostenibilitat</t>
      </text>
    </comment>
    <comment authorId="0" ref="F73">
      <text>
        <t xml:space="preserve">Seguretat física i lògica
</t>
      </text>
    </comment>
    <comment authorId="0" ref="I172">
      <text>
        <t xml:space="preserve">Alta disponibilitat+virt</t>
      </text>
    </comment>
    <comment authorId="0" ref="F40">
      <text>
        <t xml:space="preserve">Tallafocs</t>
      </text>
    </comment>
    <comment authorId="0" ref="I139">
      <text>
        <t xml:space="preserve">Implantació de tècniques d'accés remot. Seguretat perimètrica</t>
      </text>
    </comment>
    <comment authorId="0" ref="I106">
      <text>
        <t xml:space="preserve">Sostenibilitat</t>
      </text>
    </comment>
    <comment authorId="0" ref="I73">
      <text>
        <t xml:space="preserve">Seguretat física i lògica
</t>
      </text>
    </comment>
    <comment authorId="0" ref="I40">
      <text>
        <t xml:space="preserve">Tallafocs</t>
      </text>
    </comment>
    <comment authorId="0" ref="Q7">
      <text>
        <t xml:space="preserve">servidors intermediaris</t>
      </text>
    </comment>
    <comment authorId="0" ref="F156">
      <text>
        <t xml:space="preserve">servidors intermediaris</t>
      </text>
    </comment>
    <comment authorId="0" ref="F90">
      <text>
        <t xml:space="preserve">Legislació</t>
      </text>
    </comment>
    <comment authorId="0" ref="F57">
      <text>
        <t xml:space="preserve">Tallafocs</t>
      </text>
    </comment>
    <comment authorId="0" ref="I156">
      <text>
        <t xml:space="preserve">servidors intermediaris</t>
      </text>
    </comment>
    <comment authorId="0" ref="F24">
      <text>
        <t xml:space="preserve">Seguretat activa: Monitoratge, atacs, detectors intrusos
</t>
      </text>
    </comment>
    <comment authorId="0" ref="I90">
      <text>
        <t xml:space="preserve">Legislació</t>
      </text>
    </comment>
    <comment authorId="0" ref="I57">
      <text>
        <t xml:space="preserve">Tallafocs</t>
      </text>
    </comment>
    <comment authorId="0" ref="I24">
      <text>
        <t xml:space="preserve">Seguretat activa: Monitoratge, atacs, detectors intrusos
</t>
      </text>
    </comment>
    <comment authorId="0" ref="F173">
      <text>
        <t xml:space="preserve">Alta disponibilitat+virt</t>
      </text>
    </comment>
    <comment authorId="0" ref="F140">
      <text>
        <t xml:space="preserve">Implantació de tècniques d'accés remot. Seguretat perimètrica</t>
      </text>
    </comment>
    <comment authorId="0" ref="F107">
      <text>
        <t xml:space="preserve">Sostenibilitat</t>
      </text>
    </comment>
    <comment authorId="0" ref="F74">
      <text>
        <t xml:space="preserve">Seguretat física i lògica
</t>
      </text>
    </comment>
    <comment authorId="0" ref="I173">
      <text>
        <t xml:space="preserve">Alta disponibilitat+virt</t>
      </text>
    </comment>
    <comment authorId="0" ref="I140">
      <text>
        <t xml:space="preserve">Implantació de tècniques d'accés remot. Seguretat perimètrica</t>
      </text>
    </comment>
    <comment authorId="0" ref="I107">
      <text>
        <t xml:space="preserve">Sostenibilitat</t>
      </text>
    </comment>
    <comment authorId="0" ref="I74">
      <text>
        <t xml:space="preserve">Seguretat física i lògica
</t>
      </text>
    </comment>
    <comment authorId="0" ref="Q8">
      <text>
        <t xml:space="preserve">Alta disponibilitat+virt</t>
      </text>
    </comment>
    <comment authorId="0" ref="F157">
      <text>
        <t xml:space="preserve">servidors intermediaris</t>
      </text>
    </comment>
    <comment authorId="0" ref="F91">
      <text>
        <t xml:space="preserve">Legislació</t>
      </text>
    </comment>
    <comment authorId="0" ref="F58">
      <text>
        <t xml:space="preserve">Tallafocs</t>
      </text>
    </comment>
    <comment authorId="0" ref="I157">
      <text>
        <t xml:space="preserve">servidors intermediaris</t>
      </text>
    </comment>
    <comment authorId="0" ref="F25">
      <text>
        <t xml:space="preserve">Seguretat activa: Monitoratge, atacs, detectors intrusos
</t>
      </text>
    </comment>
    <comment authorId="0" ref="I91">
      <text>
        <t xml:space="preserve">Legislació</t>
      </text>
    </comment>
    <comment authorId="0" ref="I58">
      <text>
        <t xml:space="preserve">Tallafocs</t>
      </text>
    </comment>
    <comment authorId="0" ref="I25">
      <text>
        <t xml:space="preserve">Seguretat activa: Monitoratge, atacs, detectors intrusos
</t>
      </text>
    </comment>
    <comment authorId="0" ref="F174">
      <text>
        <t xml:space="preserve">Alta disponibilitat+virt</t>
      </text>
    </comment>
    <comment authorId="0" ref="F141">
      <text>
        <t xml:space="preserve">Implantació de tècniques d'accés remot. Seguretat perimètrica</t>
      </text>
    </comment>
    <comment authorId="0" ref="F108">
      <text>
        <t xml:space="preserve">Sostenibilitat</t>
      </text>
    </comment>
    <comment authorId="0" ref="F75">
      <text>
        <t xml:space="preserve">Seguretat física i lògica
</t>
      </text>
    </comment>
    <comment authorId="0" ref="I174">
      <text>
        <t xml:space="preserve">Alta disponibilitat+virt</t>
      </text>
    </comment>
    <comment authorId="0" ref="F42">
      <text>
        <t xml:space="preserve">Tallafocs</t>
      </text>
    </comment>
    <comment authorId="0" ref="I141">
      <text>
        <t xml:space="preserve">Implantació de tècniques d'accés remot. Seguretat perimètrica</t>
      </text>
    </comment>
    <comment authorId="0" ref="I108">
      <text>
        <t xml:space="preserve">Sostenibilitat</t>
      </text>
    </comment>
    <comment authorId="0" ref="I75">
      <text>
        <t xml:space="preserve">Seguretat física i lògica
</t>
      </text>
    </comment>
    <comment authorId="0" ref="I42">
      <text>
        <t xml:space="preserve">Tallafocs</t>
      </text>
    </comment>
    <comment authorId="0" ref="Q9">
      <text>
        <t xml:space="preserve">Legislació</t>
      </text>
    </comment>
    <comment authorId="0" ref="F158">
      <text>
        <t xml:space="preserve">Alta disponibilitat+virt</t>
      </text>
    </comment>
    <comment authorId="0" ref="F92">
      <text>
        <t xml:space="preserve">Legislació</t>
      </text>
    </comment>
    <comment authorId="0" ref="F59">
      <text>
        <t xml:space="preserve">Tallafocs</t>
      </text>
    </comment>
    <comment authorId="0" ref="I158">
      <text>
        <t xml:space="preserve">Alta disponibilitat+virt</t>
      </text>
    </comment>
    <comment authorId="0" ref="F26">
      <text>
        <t xml:space="preserve">Seguretat activa: Monitoratge, atacs, detectors intrusos
</t>
      </text>
    </comment>
    <comment authorId="0" ref="I92">
      <text>
        <t xml:space="preserve">Legislació</t>
      </text>
    </comment>
    <comment authorId="0" ref="I59">
      <text>
        <t xml:space="preserve">Tallafocs</t>
      </text>
    </comment>
    <comment authorId="0" ref="I26">
      <text>
        <t xml:space="preserve">Seguretat activa: Monitoratge, atacs, detectors intrusos
</t>
      </text>
    </comment>
    <comment authorId="0" ref="F175">
      <text>
        <t xml:space="preserve">Alta disponibilitat+virt</t>
      </text>
    </comment>
    <comment authorId="0" ref="F142">
      <text>
        <t xml:space="preserve">Implantació de tècniques d'accés remot. Seguretat perimètrica</t>
      </text>
    </comment>
    <comment authorId="0" ref="F76">
      <text>
        <t xml:space="preserve">Seguretat física i lògica
</t>
      </text>
    </comment>
    <comment authorId="0" ref="I175">
      <text>
        <t xml:space="preserve">Alta disponibilitat+virt</t>
      </text>
    </comment>
    <comment authorId="0" ref="F43">
      <text>
        <t xml:space="preserve">Tallafocs</t>
      </text>
    </comment>
    <comment authorId="0" ref="I142">
      <text>
        <t xml:space="preserve">Implantació de tècniques d'accés remot. Seguretat perimètrica</t>
      </text>
    </comment>
    <comment authorId="0" ref="I76">
      <text>
        <t xml:space="preserve">Seguretat física i lògica
</t>
      </text>
    </comment>
    <comment authorId="0" ref="I43">
      <text>
        <t xml:space="preserve">Tallafocs</t>
      </text>
    </comment>
    <comment authorId="0" ref="Q10">
      <text>
        <t xml:space="preserve">Sostenibilitat</t>
      </text>
    </comment>
    <comment authorId="0" ref="F159">
      <text>
        <t xml:space="preserve">Alta disponibilitat+virt</t>
      </text>
    </comment>
    <comment authorId="0" ref="F93">
      <text>
        <t xml:space="preserve">Legislació</t>
      </text>
    </comment>
    <comment authorId="0" ref="F60">
      <text>
        <t xml:space="preserve">Tallafocs</t>
      </text>
    </comment>
    <comment authorId="0" ref="I159">
      <text>
        <t xml:space="preserve">Alta disponibilitat+virt</t>
      </text>
    </comment>
    <comment authorId="0" ref="F27">
      <text>
        <t xml:space="preserve">Seguretat activa: Monitoratge, atacs, detectors intrusos
</t>
      </text>
    </comment>
    <comment authorId="0" ref="I93">
      <text>
        <t xml:space="preserve">Legislació</t>
      </text>
    </comment>
    <comment authorId="0" ref="I60">
      <text>
        <t xml:space="preserve">Tallafocs</t>
      </text>
    </comment>
    <comment authorId="0" ref="I27">
      <text>
        <t xml:space="preserve">Seguretat activa: Monitoratge, atacs, detectors intrusos
</t>
      </text>
    </comment>
    <comment authorId="0" ref="F176">
      <text>
        <t xml:space="preserve">Alta disponibilitat+virt</t>
      </text>
    </comment>
    <comment authorId="0" ref="F143">
      <text>
        <t xml:space="preserve">Implantació de tècniques d'accés remot. Seguretat perimètrica</t>
      </text>
    </comment>
    <comment authorId="0" ref="F77">
      <text>
        <t xml:space="preserve">Seguretat física i lògica
</t>
      </text>
    </comment>
    <comment authorId="0" ref="I176">
      <text>
        <t xml:space="preserve">Alta disponibilitat+virt</t>
      </text>
    </comment>
    <comment authorId="0" ref="F44">
      <text>
        <t xml:space="preserve">Tallafocs</t>
      </text>
    </comment>
    <comment authorId="0" ref="I143">
      <text>
        <t xml:space="preserve">Implantació de tècniques d'accés remot. Seguretat perimètrica</t>
      </text>
    </comment>
    <comment authorId="0" ref="I77">
      <text>
        <t xml:space="preserve">Seguretat física i lògica
</t>
      </text>
    </comment>
    <comment authorId="0" ref="I44">
      <text>
        <t xml:space="preserve">Tallafocs</t>
      </text>
    </comment>
    <comment authorId="0" ref="I11">
      <text>
        <t xml:space="preserve">Seguretat física i lògica
</t>
      </text>
    </comment>
    <comment authorId="0" ref="F160">
      <text>
        <t xml:space="preserve">Alta disponibilitat+virt</t>
      </text>
    </comment>
    <comment authorId="0" ref="F94">
      <text>
        <t xml:space="preserve">Sostenibilitat</t>
      </text>
    </comment>
    <comment authorId="0" ref="F61">
      <text>
        <t xml:space="preserve">Tallafocs</t>
      </text>
    </comment>
    <comment authorId="0" ref="I160">
      <text>
        <t xml:space="preserve">Alta disponibilitat+virt</t>
      </text>
    </comment>
    <comment authorId="0" ref="F28">
      <text>
        <t xml:space="preserve">Seguretat activa: Monitoratge, atacs, detectors intrusos
</t>
      </text>
    </comment>
    <comment authorId="0" ref="I94">
      <text>
        <t xml:space="preserve">Sostenibilitat</t>
      </text>
    </comment>
    <comment authorId="0" ref="I61">
      <text>
        <t xml:space="preserve">Tallafocs</t>
      </text>
    </comment>
    <comment authorId="0" ref="I28">
      <text>
        <t xml:space="preserve">Seguretat activa: Monitoratge, atacs, detectors intrusos
</t>
      </text>
    </comment>
    <comment authorId="0" ref="F177">
      <text>
        <t xml:space="preserve">Alta disponibilitat+virt</t>
      </text>
    </comment>
    <comment authorId="0" ref="F144">
      <text>
        <t xml:space="preserve">servidors intermediaris</t>
      </text>
    </comment>
    <comment authorId="0" ref="F78">
      <text>
        <t xml:space="preserve">Seguretat física i lògica
</t>
      </text>
    </comment>
    <comment authorId="0" ref="I177">
      <text>
        <t xml:space="preserve">Alta disponibilitat+virt</t>
      </text>
    </comment>
    <comment authorId="0" ref="F45">
      <text>
        <t xml:space="preserve">Tallafocs</t>
      </text>
    </comment>
    <comment authorId="0" ref="I144">
      <text>
        <t xml:space="preserve">servidors intermediaris</t>
      </text>
    </comment>
    <comment authorId="0" ref="I78">
      <text>
        <t xml:space="preserve">Seguretat física i lògica
</t>
      </text>
    </comment>
    <comment authorId="0" ref="I45">
      <text>
        <t xml:space="preserve">Tallafocs</t>
      </text>
    </comment>
    <comment authorId="0" ref="I12">
      <text>
        <t xml:space="preserve">Seguretat física i lògica
</t>
      </text>
    </comment>
    <comment authorId="0" ref="F161">
      <text>
        <t xml:space="preserve">Alta disponibilitat+virt</t>
      </text>
    </comment>
    <comment authorId="0" ref="F128">
      <text>
        <t xml:space="preserve">Implantació de tècniques d'accés remot. Seguretat perimètrica</t>
      </text>
    </comment>
    <comment authorId="0" ref="F95">
      <text>
        <t xml:space="preserve">Sostenibilitat</t>
      </text>
    </comment>
    <comment authorId="0" ref="F62">
      <text>
        <t xml:space="preserve">Tallafocs</t>
      </text>
    </comment>
    <comment authorId="0" ref="I161">
      <text>
        <t xml:space="preserve">Alta disponibilitat+virt</t>
      </text>
    </comment>
    <comment authorId="0" ref="F29">
      <text>
        <t xml:space="preserve">Seguretat activa: Monitoratge, atacs, detectors intrusos
</t>
      </text>
    </comment>
    <comment authorId="0" ref="I128">
      <text>
        <t xml:space="preserve">Implantació de tècniques d'accés remot. Seguretat perimètrica</t>
      </text>
    </comment>
    <comment authorId="0" ref="I95">
      <text>
        <t xml:space="preserve">Sostenibilitat</t>
      </text>
    </comment>
    <comment authorId="0" ref="I62">
      <text>
        <t xml:space="preserve">Tallafocs</t>
      </text>
    </comment>
    <comment authorId="0" ref="I29">
      <text>
        <t xml:space="preserve">Seguretat activa: Monitoratge, atacs, detectors intrusos
</t>
      </text>
    </comment>
    <comment authorId="0" ref="F178">
      <text>
        <t xml:space="preserve">Alta disponibilitat+virt</t>
      </text>
    </comment>
    <comment authorId="0" ref="F145">
      <text>
        <t xml:space="preserve">servidors intermediaris</t>
      </text>
    </comment>
    <comment authorId="0" ref="F79">
      <text>
        <t xml:space="preserve">Seguretat física i lògica
</t>
      </text>
    </comment>
    <comment authorId="0" ref="I178">
      <text>
        <t xml:space="preserve">Alta disponibilitat+virt</t>
      </text>
    </comment>
    <comment authorId="0" ref="F46">
      <text>
        <t xml:space="preserve">Tallafocs</t>
      </text>
    </comment>
    <comment authorId="0" ref="I145">
      <text>
        <t xml:space="preserve">servidors intermediaris</t>
      </text>
    </comment>
    <comment authorId="0" ref="I79">
      <text>
        <t xml:space="preserve">Seguretat física i lògica
</t>
      </text>
    </comment>
    <comment authorId="0" ref="I46">
      <text>
        <t xml:space="preserve">Tallafocs</t>
      </text>
    </comment>
    <comment authorId="0" ref="F162">
      <text>
        <t xml:space="preserve">Alta disponibilitat+virt</t>
      </text>
    </comment>
    <comment authorId="0" ref="F129">
      <text>
        <t xml:space="preserve">Implantació de tècniques d'accés remot. Seguretat perimètrica</t>
      </text>
    </comment>
    <comment authorId="0" ref="F96">
      <text>
        <t xml:space="preserve">Sostenibilitat</t>
      </text>
    </comment>
    <comment authorId="0" ref="F63">
      <text>
        <t xml:space="preserve">Tallafocs</t>
      </text>
    </comment>
    <comment authorId="0" ref="I162">
      <text>
        <t xml:space="preserve">Alta disponibilitat+virt</t>
      </text>
    </comment>
    <comment authorId="0" ref="F30">
      <text>
        <t xml:space="preserve">Seguretat activa: Monitoratge, atacs, detectors intrusos
</t>
      </text>
    </comment>
    <comment authorId="0" ref="I129">
      <text>
        <t xml:space="preserve">Implantació de tècniques d'accés remot. Seguretat perimètrica</t>
      </text>
    </comment>
    <comment authorId="0" ref="I96">
      <text>
        <t xml:space="preserve">Sostenibilitat</t>
      </text>
    </comment>
    <comment authorId="0" ref="I63">
      <text>
        <t xml:space="preserve">Tallafocs</t>
      </text>
    </comment>
    <comment authorId="0" ref="I30">
      <text>
        <t xml:space="preserve">Seguretat activa: Monitoratge, atacs, detectors intrusos
</t>
      </text>
    </comment>
    <comment authorId="0" ref="F179">
      <text>
        <t xml:space="preserve">Alta disponibilitat+virt</t>
      </text>
    </comment>
    <comment authorId="0" ref="F146">
      <text>
        <t xml:space="preserve">servidors intermediaris</t>
      </text>
    </comment>
    <comment authorId="0" ref="F80">
      <text>
        <t xml:space="preserve">Seguretat física i lògica
</t>
      </text>
    </comment>
    <comment authorId="0" ref="I179">
      <text>
        <t xml:space="preserve">Alta disponibilitat+virt</t>
      </text>
    </comment>
    <comment authorId="0" ref="F47">
      <text>
        <t xml:space="preserve">Tallafocs</t>
      </text>
    </comment>
    <comment authorId="0" ref="I146">
      <text>
        <t xml:space="preserve">servidors intermediaris</t>
      </text>
    </comment>
    <comment authorId="0" ref="I80">
      <text>
        <t xml:space="preserve">Seguretat física i lògica
</t>
      </text>
    </comment>
    <comment authorId="0" ref="I47">
      <text>
        <t xml:space="preserve">Tallafocs</t>
      </text>
    </comment>
    <comment authorId="0" ref="F163">
      <text>
        <t xml:space="preserve">Alta disponibilitat+virt</t>
      </text>
    </comment>
    <comment authorId="0" ref="F130">
      <text>
        <t xml:space="preserve">Implantació de tècniques d'accés remot. Seguretat perimètrica</t>
      </text>
    </comment>
    <comment authorId="0" ref="F97">
      <text>
        <t xml:space="preserve">Sostenibilitat</t>
      </text>
    </comment>
    <comment authorId="0" ref="F64">
      <text>
        <t xml:space="preserve">Tallafocs</t>
      </text>
    </comment>
    <comment authorId="0" ref="I163">
      <text>
        <t xml:space="preserve">Alta disponibilitat+virt</t>
      </text>
    </comment>
    <comment authorId="0" ref="F31">
      <text>
        <t xml:space="preserve">Seguretat activa: Monitoratge, atacs, detectors intrusos
</t>
      </text>
    </comment>
    <comment authorId="0" ref="I130">
      <text>
        <t xml:space="preserve">Implantació de tècniques d'accés remot. Seguretat perimètrica</t>
      </text>
    </comment>
    <comment authorId="0" ref="I97">
      <text>
        <t xml:space="preserve">Sostenibilitat</t>
      </text>
    </comment>
    <comment authorId="0" ref="I64">
      <text>
        <t xml:space="preserve">Tallafocs</t>
      </text>
    </comment>
    <comment authorId="0" ref="I31">
      <text>
        <t xml:space="preserve">Seguretat activa: Monitoratge, atacs, detectors intrusos
</t>
      </text>
    </comment>
    <comment authorId="0" ref="F180">
      <text>
        <t xml:space="preserve">Alta disponibilitat+virt</t>
      </text>
    </comment>
    <comment authorId="0" ref="F147">
      <text>
        <t xml:space="preserve">servidors intermediaris</t>
      </text>
    </comment>
    <comment authorId="0" ref="F81">
      <text>
        <t xml:space="preserve">Legislació</t>
      </text>
    </comment>
    <comment authorId="0" ref="I180">
      <text>
        <t xml:space="preserve">Alta disponibilitat+virt</t>
      </text>
    </comment>
    <comment authorId="0" ref="F48">
      <text>
        <t xml:space="preserve">Tallafocs</t>
      </text>
    </comment>
    <comment authorId="0" ref="I147">
      <text>
        <t xml:space="preserve">servidors intermediaris</t>
      </text>
    </comment>
    <comment authorId="0" ref="F15">
      <text>
        <t xml:space="preserve">Seguretat activa: Monitoratge, atacs, detectors intrusos
</t>
      </text>
    </comment>
    <comment authorId="0" ref="I81">
      <text>
        <t xml:space="preserve">Legislació</t>
      </text>
    </comment>
    <comment authorId="0" ref="I48">
      <text>
        <t xml:space="preserve">Tallafocs</t>
      </text>
    </comment>
    <comment authorId="0" ref="I15">
      <text>
        <t xml:space="preserve">Seguretat activa: Monitoratge, atacs, detectors intrusos
</t>
      </text>
    </comment>
    <comment authorId="0" ref="F164">
      <text>
        <t xml:space="preserve">Alta disponibilitat+virt</t>
      </text>
    </comment>
    <comment authorId="0" ref="F131">
      <text>
        <t xml:space="preserve">Implantació de tècniques d'accés remot. Seguretat perimètrica</t>
      </text>
    </comment>
    <comment authorId="0" ref="F98">
      <text>
        <t xml:space="preserve">Sostenibilitat</t>
      </text>
    </comment>
    <comment authorId="0" ref="F65">
      <text>
        <t xml:space="preserve">Tallafocs</t>
      </text>
    </comment>
    <comment authorId="0" ref="I164">
      <text>
        <t xml:space="preserve">Alta disponibilitat+virt</t>
      </text>
    </comment>
    <comment authorId="0" ref="F32">
      <text>
        <t xml:space="preserve">Seguretat activa: Monitoratge, atacs, detectors intrusos
</t>
      </text>
    </comment>
    <comment authorId="0" ref="I131">
      <text>
        <t xml:space="preserve">Implantació de tècniques d'accés remot. Seguretat perimètrica</t>
      </text>
    </comment>
    <comment authorId="0" ref="I98">
      <text>
        <t xml:space="preserve">Sostenibilitat</t>
      </text>
    </comment>
    <comment authorId="0" ref="I65">
      <text>
        <t xml:space="preserve">Tallafocs</t>
      </text>
    </comment>
    <comment authorId="0" ref="I32">
      <text>
        <t xml:space="preserve">Seguretat activa: Monitoratge, atacs, detectors intrusos
</t>
      </text>
    </comment>
    <comment authorId="0" ref="F181">
      <text>
        <t xml:space="preserve">Alta disponibilitat+virt</t>
      </text>
    </comment>
    <comment authorId="0" ref="F148">
      <text>
        <t xml:space="preserve">servidors intermediaris</t>
      </text>
    </comment>
    <comment authorId="0" ref="F82">
      <text>
        <t xml:space="preserve">Legislació</t>
      </text>
    </comment>
    <comment authorId="0" ref="I181">
      <text>
        <t xml:space="preserve">Alta disponibilitat+virt</t>
      </text>
    </comment>
    <comment authorId="0" ref="F49">
      <text>
        <t xml:space="preserve">Tallafocs</t>
      </text>
    </comment>
    <comment authorId="0" ref="I148">
      <text>
        <t xml:space="preserve">servidors intermediaris</t>
      </text>
    </comment>
    <comment authorId="0" ref="F16">
      <text>
        <t xml:space="preserve">Seguretat activa: Monitoratge, atacs, detectors intrusos
</t>
      </text>
    </comment>
    <comment authorId="0" ref="I82">
      <text>
        <t xml:space="preserve">Legislació</t>
      </text>
    </comment>
    <comment authorId="0" ref="I49">
      <text>
        <t xml:space="preserve">Tallafocs</t>
      </text>
    </comment>
    <comment authorId="0" ref="I16">
      <text>
        <t xml:space="preserve">Seguretat activa: Monitoratge, atacs, detectors intrusos
</t>
      </text>
    </comment>
    <comment authorId="0" ref="F165">
      <text>
        <t xml:space="preserve">Alta disponibilitat+virt</t>
      </text>
    </comment>
    <comment authorId="0" ref="F132">
      <text>
        <t xml:space="preserve">Implantació de tècniques d'accés remot. Seguretat perimètrica</t>
      </text>
    </comment>
    <comment authorId="0" ref="F99">
      <text>
        <t xml:space="preserve">Sostenibilitat</t>
      </text>
    </comment>
    <comment authorId="0" ref="F66">
      <text>
        <t xml:space="preserve">Tallafocs</t>
      </text>
    </comment>
    <comment authorId="0" ref="I165">
      <text>
        <t xml:space="preserve">Alta disponibilitat+virt</t>
      </text>
    </comment>
    <comment authorId="0" ref="F33">
      <text>
        <t xml:space="preserve">Seguretat activa: Monitoratge, atacs, detectors intrusos
</t>
      </text>
    </comment>
    <comment authorId="0" ref="I132">
      <text>
        <t xml:space="preserve">Implantació de tècniques d'accés remot. Seguretat perimètrica</t>
      </text>
    </comment>
    <comment authorId="0" ref="I99">
      <text>
        <t xml:space="preserve">Sostenibilitat</t>
      </text>
    </comment>
    <comment authorId="0" ref="I66">
      <text>
        <t xml:space="preserve">Tallafocs</t>
      </text>
    </comment>
    <comment authorId="0" ref="I33">
      <text>
        <t xml:space="preserve">Seguretat activa: Monitoratge, atacs, detectors intrusos
</t>
      </text>
    </comment>
    <comment authorId="0" ref="F182">
      <text>
        <t xml:space="preserve">Alta disponibilitat+virt</t>
      </text>
    </comment>
    <comment authorId="0" ref="F149">
      <text>
        <t xml:space="preserve">servidors intermediaris</t>
      </text>
    </comment>
    <comment authorId="0" ref="F83">
      <text>
        <t xml:space="preserve">Legislació</t>
      </text>
    </comment>
    <comment authorId="0" ref="I182">
      <text>
        <t xml:space="preserve">Alta disponibilitat+virt</t>
      </text>
    </comment>
    <comment authorId="0" ref="F50">
      <text>
        <t xml:space="preserve">Tallafocs</t>
      </text>
    </comment>
    <comment authorId="0" ref="I149">
      <text>
        <t xml:space="preserve">servidors intermediaris</t>
      </text>
    </comment>
    <comment authorId="0" ref="F17">
      <text>
        <t xml:space="preserve">Seguretat activa: Monitoratge, atacs, detectors intrusos
</t>
      </text>
    </comment>
    <comment authorId="0" ref="I83">
      <text>
        <t xml:space="preserve">Legislació</t>
      </text>
    </comment>
    <comment authorId="0" ref="I50">
      <text>
        <t xml:space="preserve">Tallafocs</t>
      </text>
    </comment>
    <comment authorId="0" ref="I17">
      <text>
        <t xml:space="preserve">Seguretat activa: Monitoratge, atacs, detectors intrusos
</t>
      </text>
    </comment>
  </commentList>
</comments>
</file>

<file path=xl/sharedStrings.xml><?xml version="1.0" encoding="utf-8"?>
<sst xmlns="http://schemas.openxmlformats.org/spreadsheetml/2006/main" count="341" uniqueCount="278">
  <si>
    <t>ASIX M11 (0378)</t>
  </si>
  <si>
    <t>PAU</t>
  </si>
  <si>
    <t>VANESA</t>
  </si>
  <si>
    <t>reforma</t>
  </si>
  <si>
    <t>4h/setmana</t>
  </si>
  <si>
    <t>A</t>
  </si>
  <si>
    <t>2A-26</t>
  </si>
  <si>
    <t>B</t>
  </si>
  <si>
    <t>2B-26</t>
  </si>
  <si>
    <t>A2</t>
  </si>
  <si>
    <t>B1</t>
  </si>
  <si>
    <t>B-23-26</t>
  </si>
  <si>
    <t>RA</t>
  </si>
  <si>
    <t>H.Prog</t>
  </si>
  <si>
    <t>Hores</t>
  </si>
  <si>
    <t>Inici</t>
  </si>
  <si>
    <t>Fi</t>
  </si>
  <si>
    <t>H.Reals</t>
  </si>
  <si>
    <t>% hores</t>
  </si>
  <si>
    <t>Set</t>
  </si>
  <si>
    <t>Dia</t>
  </si>
  <si>
    <t>Programat (setmanal)</t>
  </si>
  <si>
    <t>h.</t>
  </si>
  <si>
    <t>UF</t>
  </si>
  <si>
    <t>Seguiment</t>
  </si>
  <si>
    <t>Tema2: Concep/lleis</t>
  </si>
  <si>
    <t>Tema1: FW+Perim</t>
  </si>
  <si>
    <t>Tema3: Remot i proxy</t>
  </si>
  <si>
    <t>Tema 4: HA i Virt</t>
  </si>
  <si>
    <t>S</t>
  </si>
  <si>
    <t>Sostenibilitat</t>
  </si>
  <si>
    <t>M11</t>
  </si>
  <si>
    <t>TOT</t>
  </si>
  <si>
    <t>Presentació ASIX</t>
  </si>
  <si>
    <t>Presentació i FI
Comptes Isard, AWS, Cisco, Openwebinars
Repàs de xarxes: ip,mask,gw,dns,símbols,adrecesIP priv-pub,classes,mapa lògic,segmentació 
OPNSense</t>
  </si>
  <si>
    <t xml:space="preserve">Presentació i FI
Comptes Isard, AWS, Cisco, Openwebinars
Repàs de xarxes: ip,mask,gw,dns,símbols,classes,funcionament d'un switch(memòria trames i taula CAM),procés d'enviament de paquets 
Demanat baixar OPNSense
Pendent: Comptes Isard, AWS, Cisco, Openwebinars
Pendent: adrecesIP priv-pub, mapa lògic, segmentació 
</t>
  </si>
  <si>
    <t>idem</t>
  </si>
  <si>
    <t>Revisió de xarxes</t>
  </si>
  <si>
    <t>Exercici xarxes
Explicats conceptes de switch, router, segmentació, paràmetres de xarxa, procés d'enviament de paquets</t>
  </si>
  <si>
    <t>OPNSense. Instal·lar</t>
  </si>
  <si>
    <t>Instal·lació OPNSense
Exercici permís obert, tancar ports. Demanar blocar web de la revista hola</t>
  </si>
  <si>
    <t>Teoria seguretat perimetral</t>
  </si>
  <si>
    <t xml:space="preserve">Revisió exercici de xarxes
Teoria seg. activa: FW, disposició en DMZ.
</t>
  </si>
  <si>
    <t>Projecte DMZ</t>
  </si>
  <si>
    <t>Revisió config OPNSense un per un
Revisió bloqueig web hola
Presentació projecte DMZ amb OPNSense, explicats requisits i mostrat amb dibuix a classe</t>
  </si>
  <si>
    <t>Teoria: IDS, IPS, SIEM, SOAR, ubicació de dispositius, ports mirror i TAP</t>
  </si>
  <si>
    <t>Teoria seguretat perimetral (2)</t>
  </si>
  <si>
    <t>Acabar teoria Seguretat perimètrica (exemples de App IDS, etc)
Honeypot
Fer exercici per a situar els dispositius de seguretat.</t>
  </si>
  <si>
    <t>FW iptables</t>
  </si>
  <si>
    <t>Firewall IP Tables 1</t>
  </si>
  <si>
    <t>TANCAT PER PLUGES</t>
  </si>
  <si>
    <t>Exercici IP Tables 1</t>
  </si>
  <si>
    <t>Examen UF1</t>
  </si>
  <si>
    <t>IP Tables (1) Exercici IPTables local</t>
  </si>
  <si>
    <t>FESTA</t>
  </si>
  <si>
    <t>Firewall IP Tables (2)</t>
  </si>
  <si>
    <t>Pra DMZ Projecte assegurar XARXA.
Explicar OPNsense i firewall.</t>
  </si>
  <si>
    <t>Examen UF3</t>
  </si>
  <si>
    <t>EXAMEN TEMA 1: Seg.Act i FW</t>
  </si>
  <si>
    <t>Firewall iptables
Projecte amb iptables</t>
  </si>
  <si>
    <t>LOPD</t>
  </si>
  <si>
    <t>- Figures LOPD- GDD</t>
  </si>
  <si>
    <t>- Drets LOPD-GDD</t>
  </si>
  <si>
    <t>- Mesures i accès</t>
  </si>
  <si>
    <t>LSSI</t>
  </si>
  <si>
    <t>- Figures LSSI</t>
  </si>
  <si>
    <t>- Aplicació LSSI</t>
  </si>
  <si>
    <t>Examen UF2</t>
  </si>
  <si>
    <t>EXAMEN Tema 2 (RA1+RA7)</t>
  </si>
  <si>
    <t>Examen SOS</t>
  </si>
  <si>
    <t>JORNADA ESPECIAL</t>
  </si>
  <si>
    <t>VPN</t>
  </si>
  <si>
    <t>Projecte</t>
  </si>
  <si>
    <t xml:space="preserve">Nagios </t>
  </si>
  <si>
    <t>DMZ</t>
  </si>
  <si>
    <t>Wifi</t>
  </si>
  <si>
    <t>Proxy
Explicació projecte VPN-Proxy (1a part proxy)</t>
  </si>
  <si>
    <t>Projecte Proxy</t>
  </si>
  <si>
    <t>Examen UF4</t>
  </si>
  <si>
    <t>Projecte VPN-Proxy</t>
  </si>
  <si>
    <t>Examen Tema3 (VPN+Proxy)</t>
  </si>
  <si>
    <t xml:space="preserve">D1. Primers pasos en Docker: Què és, instal·lar docker, arrencar contenidors, veure paràmetres, comunicar-se entre contenidors, Docker hub
Intro Docker i demanat exercici. Exercici 00 intro Docker i 01 Volums i xarxes. </t>
  </si>
  <si>
    <t>D2.Correcció Exercici Intro Docker. 
Xarxes i volums Docker.
Exercici 01 xarxes i volums
Teoria Dockerfile</t>
  </si>
  <si>
    <t>D3.Explicar Multicontainer
Explicar Docker-compose
Posar projecte Docker multi</t>
  </si>
  <si>
    <t>D4.Corregir Ex02 Dockerfile. Explicar Dockerfile
Docker-compose.</t>
  </si>
  <si>
    <t>Proposar i explicar Projecte Docker</t>
  </si>
  <si>
    <t>Revisió docker</t>
  </si>
  <si>
    <t>Projecte Tema 4 (RA6)</t>
  </si>
  <si>
    <t>Projecte ASIX</t>
  </si>
  <si>
    <t>Examen UF5</t>
  </si>
  <si>
    <t>Planificació i seguiment</t>
  </si>
  <si>
    <t>Entrega part implementació</t>
  </si>
  <si>
    <t>0378</t>
  </si>
  <si>
    <t>SEGURETAT I ALTA DISPONIBILITAT</t>
  </si>
  <si>
    <t>88 HORES = 55 CENTRE + 33 EMPRESA, ECTS=7</t>
  </si>
  <si>
    <t>RA1</t>
  </si>
  <si>
    <t>1. Seguretat física i lògica. Continguts orientatius</t>
  </si>
  <si>
    <t>RA1. Adopta pautes i pràctiques de tractament segur de la informació, reconeixent les vulnerabilitats d'un sistema informàtic i la necessitat d'assegurar-lo.</t>
  </si>
  <si>
    <t>Agrupació de temes i seqüència temporal</t>
  </si>
  <si>
    <t>1. Adopció de pautes de seguretat informàtica:</t>
  </si>
  <si>
    <t>1.1. Fiabilitat, confidencialitat, integritat i disponibilitat.</t>
  </si>
  <si>
    <t>1.1. Valora la importància d'assegurar la privadesa, coherència i disponibilitat de la informació en els sistemes informàtics.</t>
  </si>
  <si>
    <t>RA4+RA3</t>
  </si>
  <si>
    <t>Firewalls+Seg perimètrica</t>
  </si>
  <si>
    <t>1.2. Elements vulnerables en el sistema informàtic: maquinari, programari i dades.</t>
  </si>
  <si>
    <t>1.2. Descriu les diferències entre seguretat física i lògica.</t>
  </si>
  <si>
    <t>RA1+RA7</t>
  </si>
  <si>
    <t>Seg.física i lògica+legislació</t>
  </si>
  <si>
    <t>1.3. Anàlisi de les principals vulnerabilitats d'un sistema informàtic.</t>
  </si>
  <si>
    <t>1.3. Classifica les principals vulnerabilitats d'un sistema informàtic, segons la seva tipologia i origen.</t>
  </si>
  <si>
    <t>RA2+RA5</t>
  </si>
  <si>
    <t>Seg.activa+Seg.xarxa</t>
  </si>
  <si>
    <t>1.4. Amenaces. Tipus: Amenaces físiques. Amenaces lògiques.</t>
  </si>
  <si>
    <t>1.4. Contrasta la incidència de les tècniques d'enginyeria social en els fraus informàtics.</t>
  </si>
  <si>
    <t>RA6</t>
  </si>
  <si>
    <t>Alta disponibilitat</t>
  </si>
  <si>
    <t>1.5. Seguretat física i ambiental:</t>
  </si>
  <si>
    <t>1.5. Adopta polítiques de contrasenyes.</t>
  </si>
  <si>
    <t>2. Seguretat lògica:</t>
  </si>
  <si>
    <t>1.6. Valora els avantatges que suposa la utilització de sistemes biomètrics.</t>
  </si>
  <si>
    <t>2.1. Criptografia.</t>
  </si>
  <si>
    <t>1.7. Aplica tècniques criptogràfiques en l'emmagatzematge i la transmissió de la informació.</t>
  </si>
  <si>
    <t>2.2. Llistes de control d'accés.</t>
  </si>
  <si>
    <t>1.8. Reconeix la necessitat d'establir un pla integral de protecció perimètrica, especialment en sistemes connectats a xarxes públiques.</t>
  </si>
  <si>
    <t>2.3. Establiment de polítiques de contrasenyes.</t>
  </si>
  <si>
    <t>1.9. Identifica les fases de l'anàlisi forense enfront d'atacs a un sistema.</t>
  </si>
  <si>
    <t>2.4. Polítiques d'emmagatzematge.</t>
  </si>
  <si>
    <t>2.5. Còpies de seguretat i imatges de suport.</t>
  </si>
  <si>
    <t>2.6. Mitjans d'emmagatzematge.</t>
  </si>
  <si>
    <t>2.7. Anàlisi forense en sistemes informàtics.</t>
  </si>
  <si>
    <t>RA2</t>
  </si>
  <si>
    <t>2. Seguretat activa. Continguts orientatius</t>
  </si>
  <si>
    <t>RA2. Implanta mecanismes de seguretat activa, seleccionant i executant contramesures enfront d'amenaces o atacs al sistema.</t>
  </si>
  <si>
    <t>1. Implantació de mecanismes de seguretat activa:</t>
  </si>
  <si>
    <t>1.1. Atacs i contramesures en sistemes personals:</t>
  </si>
  <si>
    <t>2.1. Classifica els principals tipus d'amenaces lògiques contra un sistema informàtic.</t>
  </si>
  <si>
    <t>1.1.1. Classificació dels atacs.</t>
  </si>
  <si>
    <t>2.2. Verifica l'origen i l'autenticitat de les aplicacions instal·lades en un equip, així com l'estat d'actualització del sistema operatiu.</t>
  </si>
  <si>
    <t>1.1.2. Anatomia d'atacs i anàlisi de programari maliciós.</t>
  </si>
  <si>
    <t>2.3. Identifica l'anatomia dels atacs més habituals, així com les mesures preventives i pal·liatives disponibles.</t>
  </si>
  <si>
    <t>1.1.3. Eines preventives: instal·lació i configuració.</t>
  </si>
  <si>
    <t>2.4. Analitza diversos tipus d'amenaces, atacs i programari maliciós, en entorns d'execució controlats.</t>
  </si>
  <si>
    <t>1.1.4. Eines pal·liatives: instal·lació i configuració.</t>
  </si>
  <si>
    <t>2.5. Implanta aplicacions específiques per a la detecció d'amenaces i l'eliminació de programari maliciós.</t>
  </si>
  <si>
    <t>1.1.5. Actualització de sistemes i aplicacions.</t>
  </si>
  <si>
    <t>2.6. Utilitza tècniques de xifrat, signatures i certificats digitals en un entorn de treball basat en l'ús de xarxes públiques.</t>
  </si>
  <si>
    <t>1.1.6. Seguretat en la connexió amb xarxes públiques.</t>
  </si>
  <si>
    <t>2.7. Avalua les mesures de seguretat dels protocols usats en xarxes sense fil.</t>
  </si>
  <si>
    <t>1.1.7. Pautes i pràctiques segures.</t>
  </si>
  <si>
    <t>2.8. Reconeix la necessitat d'inventariar i controlar els serveis de xarxa que s'executen en un sistema.</t>
  </si>
  <si>
    <t>1.2. Seguretat en la xarxa corporativa:</t>
  </si>
  <si>
    <t>2.9. Descriu els tipus i característiques dels sistemes de detecció d'intrusions.</t>
  </si>
  <si>
    <t>1.2.1. Monitoratge del tràfic en xarxes.</t>
  </si>
  <si>
    <t>1.2.2. Seguretat en els protocols per a comunicacions sense fil.</t>
  </si>
  <si>
    <t>1.2.3. Riscos potencials de els serveis de xarxa.</t>
  </si>
  <si>
    <t>1.2.4. Intents de penetració.</t>
  </si>
  <si>
    <t>RA3</t>
  </si>
  <si>
    <t>3. Implantació de tècniques d'accés remot. Seguretat perimètrica. Continguts orientatius</t>
  </si>
  <si>
    <t>RA3. Implanta tècniques segures d'accés remot a un sistema informàtic, interpretant i aplicant el pla de seguretat.</t>
  </si>
  <si>
    <t>1. Elements bàsics de la seguretat perimètrica.</t>
  </si>
  <si>
    <t>3.1. Descriu escenaris típics de sistemes amb connexió a xarxes públiques en els quals es precisa fortificar la xarxa interna.</t>
  </si>
  <si>
    <t>2.2. Perímetres de xarxa. Zones desmilitaritzades.</t>
  </si>
  <si>
    <t>3.2. Classifica les zones de risc d'un sistema, segons criteris de seguretat perimè-</t>
  </si>
  <si>
    <t>2.3. Arquitectura feble de subxarxa protegida.</t>
  </si>
  <si>
    <t>trica.</t>
  </si>
  <si>
    <t>2.4. Arquitectura forta de subxarxa protegida.</t>
  </si>
  <si>
    <t>3.3. Identifica els protocols segurs de comunicació i els seus àmbits d'utilització.</t>
  </si>
  <si>
    <t>2.5. Xarxes privades virtuals. VPN.</t>
  </si>
  <si>
    <t>3.4. Configura xarxes privades virtuals mitjançant protocols segurs a diferents ni-</t>
  </si>
  <si>
    <t>2.6. Beneficis i desavantatges de les VPN envers les línies dedicades.</t>
  </si>
  <si>
    <t>vells.</t>
  </si>
  <si>
    <t>2.7. Tècniques de xifratge. Clau pública i clau privada:</t>
  </si>
  <si>
    <t>3.5. Implanta un servidor com a passarel·la d'accés a la xarxa interna des d'ubica-</t>
  </si>
  <si>
    <t>2.7.1. VPN a nivell de xarxa. SSL, IP Sec.</t>
  </si>
  <si>
    <t>cions remotes.</t>
  </si>
  <si>
    <t>2.7.2. VPN a nivell d'aplicació SSH.</t>
  </si>
  <si>
    <t>3.6. Identifica i configura els possibles mètodes d'autenticació en l'accés d'usuaris</t>
  </si>
  <si>
    <t>2.8. Servidors d'accés remot:</t>
  </si>
  <si>
    <t>remots a través de la passarel·la.</t>
  </si>
  <si>
    <t>2.8.1. Protocols d'autenticació.</t>
  </si>
  <si>
    <t>3.7. Instal·la, configura i integra en la passarel·la un servidor remot d'autenticació.</t>
  </si>
  <si>
    <t>2.8.2. Configuració de paràmetres d'accés.</t>
  </si>
  <si>
    <t>2.8.3. Servidors d'autenticació</t>
  </si>
  <si>
    <t>RA4</t>
  </si>
  <si>
    <t>4. Tallafocs. Continguts orientatius</t>
  </si>
  <si>
    <t>RA4. Implanta tallafocs per a assegurar un sistema informàtic, analitzant les seves prestacions i controlant el tràfic cap a la xarxa interna.</t>
  </si>
  <si>
    <t>1. Instal·lació i configuració de tallafocs:</t>
  </si>
  <si>
    <t>1.1. Tipus de tallafocs. Característiques. Funcions principals.</t>
  </si>
  <si>
    <t>4.1. Descriu les característiques, tipus i funcions dels tallafocs.</t>
  </si>
  <si>
    <t>1.2. Utilització de tallafocs.</t>
  </si>
  <si>
    <t>4.2. Classifica els nivells en els quals es realitza el filtratge de tràfic.</t>
  </si>
  <si>
    <t>1.3. Filtratge de paquets de dades.</t>
  </si>
  <si>
    <t>4.3. Planifica la instal·lació de tallafocs per limitar els accessos a determinades zones de la xarxa.</t>
  </si>
  <si>
    <t>1.4. Instal·lació de tallafocs. Ubicació.</t>
  </si>
  <si>
    <t>4.4. Configura filtres en un tallafocs a partir d'un llistat de regles de filtratge.</t>
  </si>
  <si>
    <t>1.5. Regles de filtratge dels tallafocs.</t>
  </si>
  <si>
    <t>4.5. Revisa els registres d'esdeveniments de tallafocs, per verificar que les regles s'apliquen correctament.</t>
  </si>
  <si>
    <t>1.6. Proves de funcionament. Sondeig.</t>
  </si>
  <si>
    <t>4.6. Prova diferents opcions per implementar tallafocs, tant de programari com de maquinari.</t>
  </si>
  <si>
    <t>1.7. Registres d'esdeveniments d'un tallafoc</t>
  </si>
  <si>
    <t>4.7. Diagnostica problemes de connectivitat en els clients provocats pels tallafocs.</t>
  </si>
  <si>
    <t>4.8. Elabora documentació relativa a la instal·lació, configuració i utilització de tallafocs.</t>
  </si>
  <si>
    <t>RA5</t>
  </si>
  <si>
    <t>5. Instal·lació i configuració de servidors intermediaris. Continguts orientatius</t>
  </si>
  <si>
    <t>RA5. Implanta servidors intermediaris, aplicant criteris de configuració que garanteixin el funcionament segur del servei.</t>
  </si>
  <si>
    <t>2.1 Tipus de servidors intermediaris. Característiques i funcions.</t>
  </si>
  <si>
    <t>5.1. Identifica els tipus de servidors intermediaris, les seves característiques i funcions principals.</t>
  </si>
  <si>
    <t>2.2. Instal·lació de servidors intermediaris.</t>
  </si>
  <si>
    <t>5.2. Instal·la i configura un servidor cau.</t>
  </si>
  <si>
    <t>2.3. Instal·lació i configuració de clients de servidors intermediaris.</t>
  </si>
  <si>
    <t>5.3. Configura els mètodes d'autenticació en el servidor intermediari.</t>
  </si>
  <si>
    <t>2.4. Configuració de l'emmagatzematge en memòria cau d'un servidor intermediari.</t>
  </si>
  <si>
    <t>5.4. Configura un servidor intermediari en manera transparent.</t>
  </si>
  <si>
    <t>2.5. Mètodes d'autenticació en un servidor intermediari.</t>
  </si>
  <si>
    <t>5.5. Utilitza el servidor intermediari per establir restriccions d'accés web.</t>
  </si>
  <si>
    <t>2.6. Configuració de filtres</t>
  </si>
  <si>
    <t>5.6. Soluciona problemes d'accés des dels clients al servidor intermediari.</t>
  </si>
  <si>
    <t>5.7. Realitza proves de funcionament del servidor intermediari, monitorant la seva activitat amb eines gràfiques.</t>
  </si>
  <si>
    <t>5.8. Configura un servidor intermediari en mode invers.</t>
  </si>
  <si>
    <t>5.9. Elabora documentació relativa a la instal·lació, configuració i ús de servidors intermediaris.</t>
  </si>
  <si>
    <t>Alta disponibilitat i virtualització. Continguts orientatius</t>
  </si>
  <si>
    <t>RA6. Implanta solucions d'alta disponibilitat emprant tècniques de virtualització i configurant els entorns de prova.</t>
  </si>
  <si>
    <t>1. Implantació de solucions d'alta disponibilitat:</t>
  </si>
  <si>
    <t>1.1. Definició i objectius.</t>
  </si>
  <si>
    <t>6.1. Analitza supòsits i situacions en les quals es fa necessari implementar solucions d'alta disponibilitat.</t>
  </si>
  <si>
    <t>1.2. Anàlisi de configuracions d'alta disponibilitat.</t>
  </si>
  <si>
    <t>6.2. Identifica solucions de maquinari per assegurar la continuïtat en el funcionament d'un sistema.</t>
  </si>
  <si>
    <t>1.2.1. Funcionament ininterromput.</t>
  </si>
  <si>
    <t>6.3. Avalua les possibilitats de la virtualització de sistemes per implementar solucions d'alta disponibilitat.</t>
  </si>
  <si>
    <t>1.2.2. Integritat de dades i recuperació de servei.</t>
  </si>
  <si>
    <t>6.4. Implanta un servidor redundant que garanteixi la continuïtat de serveis en casos de caiguda del servidor principal.</t>
  </si>
  <si>
    <t>1.2.3. Servidors redundants.</t>
  </si>
  <si>
    <t>6.5. Implanta un sistema de balanç de càrrega a l'entrada de la xarxa interna.</t>
  </si>
  <si>
    <t>1.2.4. Sistemes de clústers.</t>
  </si>
  <si>
    <t>6.6. Implanta sistemes d'emmagatzematge redundant sobre servidors i dispositius específics.</t>
  </si>
  <si>
    <t>1.2.5. Sistemes de balanç de càrrega.</t>
  </si>
  <si>
    <t>6.7. Avalua la utilitat dels sistemes de clústers per augmentar la fiabilitat i productivitat del sistema.</t>
  </si>
  <si>
    <t>1.3. Instal·lació i configuració de solucions d'alta disponibilitat.</t>
  </si>
  <si>
    <t>6.8. Analitza solucions de futur per a un sistema amb demanda creixent.</t>
  </si>
  <si>
    <t>1.4. Virtualització de sistemes.</t>
  </si>
  <si>
    <t>6.9. Esquematitza i documenta solucions per a diferents supòsits amb necessitats d'alta disponibilitat.</t>
  </si>
  <si>
    <t>1.5. Possibilitats de la virtualització de sistemes.</t>
  </si>
  <si>
    <t>1.6. Eines per a la virtualització.</t>
  </si>
  <si>
    <t>1.7. Configuració i utilització de màquines virtuals.</t>
  </si>
  <si>
    <t>1.8. Alta disponibilitat i virtualització.</t>
  </si>
  <si>
    <t>1.9. Simulació de serveis mitjançant virtualització.</t>
  </si>
  <si>
    <t>RA7</t>
  </si>
  <si>
    <t>7. Legislació i normes sobre seguretat. Continguts orientatius</t>
  </si>
  <si>
    <t>RA7. Reconeix la legislació i normativa sobre seguretat i protecció de dades valorant-ne la importància.</t>
  </si>
  <si>
    <t>1.1. Legislació sobre protecció de dades</t>
  </si>
  <si>
    <t>7.1. Descriu la legislació sobre protecció de dades de caràcter personal.</t>
  </si>
  <si>
    <t>1.2. Legislació sobre els serveis de la societat de la informació i el correu electrònic</t>
  </si>
  <si>
    <t>7.2. Determina la necessitat de controlar l’accés a la informació personal emmagatzemada.</t>
  </si>
  <si>
    <t>7.3. Identifica les figures legals que intervenen en el tractament i el manteniment dels fitxers de dades.</t>
  </si>
  <si>
    <t>7.4. Contrasta l’obligació de posar a disposició de les persones les dades personals que els concerneix.</t>
  </si>
  <si>
    <t>7.5. Descriu la legislació actual sobre els serveis de la societat de la informació i de comerç electrònic.</t>
  </si>
  <si>
    <t>7.6. Contrasta les normes sobre gestió de seguretat de la informació.</t>
  </si>
  <si>
    <t>7.7. Comprèn la necessitat de conèixer i respectar la normativa legal aplicable.</t>
  </si>
  <si>
    <t xml:space="preserve">Dilluns </t>
  </si>
  <si>
    <t>Dimarts</t>
  </si>
  <si>
    <t>Dimecres</t>
  </si>
  <si>
    <t>Dijous</t>
  </si>
  <si>
    <t>Divendres</t>
  </si>
  <si>
    <t>08:00 - 09:00</t>
  </si>
  <si>
    <t>09:00 - 10:00</t>
  </si>
  <si>
    <t>10:00 - 11:00</t>
  </si>
  <si>
    <t>11:00 - 11:30</t>
  </si>
  <si>
    <t>11:30 - 12:30</t>
  </si>
  <si>
    <t>12:30 - 13:30</t>
  </si>
  <si>
    <t>13:30 - 14:30</t>
  </si>
  <si>
    <t>14:30 . 15:00</t>
  </si>
  <si>
    <t>15:00 - 16:00</t>
  </si>
  <si>
    <t>M11A</t>
  </si>
  <si>
    <t>16:00 - 17:00</t>
  </si>
  <si>
    <t>17:00 - 18:00</t>
  </si>
  <si>
    <t>M11B</t>
  </si>
  <si>
    <t>18:20 - 19:20</t>
  </si>
  <si>
    <t>Tot el grup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</si>
</sst>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"/>
    <numFmt numFmtId="165" formatCode="ddd"/>
    <numFmt numFmtId="166" formatCode="dd/MM/yyyy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Verdana"/>
    </font>
    <font>
      <color theme="1"/>
      <name val="Arial"/>
      <scheme val="minor"/>
    </font>
    <font/>
    <font>
      <sz val="11.0"/>
      <color rgb="FF000000"/>
      <name val="Arial"/>
    </font>
    <font>
      <sz val="10.0"/>
      <color theme="1"/>
      <name val="Arial"/>
      <scheme val="minor"/>
    </font>
    <font>
      <color rgb="FF000000"/>
      <name val="Arial"/>
    </font>
    <font>
      <color rgb="FFFFFFFF"/>
      <name val="Arial"/>
    </font>
    <font>
      <sz val="11.0"/>
      <color theme="1"/>
      <name val="Arial"/>
    </font>
    <font>
      <color rgb="FF000000"/>
      <name val="&quot;arial&quot;"/>
    </font>
    <font>
      <strike/>
      <color theme="1"/>
      <name val="Arial"/>
    </font>
    <font>
      <b/>
      <color theme="1"/>
      <name val="Arial"/>
    </font>
    <font>
      <sz val="12.0"/>
      <color theme="1"/>
      <name val="Arial"/>
    </font>
    <font>
      <b/>
      <color theme="1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EEEEEE"/>
        <bgColor rgb="FFEEEEEE"/>
      </patternFill>
    </fill>
    <fill>
      <patternFill patternType="solid">
        <fgColor rgb="FF99CC00"/>
        <bgColor rgb="FF99CC0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7981D"/>
        <bgColor rgb="FFF7981D"/>
      </patternFill>
    </fill>
    <fill>
      <patternFill patternType="solid">
        <fgColor rgb="FF00FFFF"/>
        <bgColor rgb="FF00FFFF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2" fillId="0" fontId="2" numFmtId="0" xfId="0" applyAlignment="1" applyBorder="1" applyFont="1">
      <alignment horizontal="center" vertical="bottom"/>
    </xf>
    <xf borderId="3" fillId="0" fontId="6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0" xfId="0" applyAlignment="1" applyBorder="1" applyFill="1" applyFont="1">
      <alignment horizontal="center" vertical="bottom"/>
    </xf>
    <xf borderId="1" fillId="5" fontId="7" numFmtId="0" xfId="0" applyAlignment="1" applyBorder="1" applyFill="1" applyFont="1">
      <alignment horizontal="right" vertical="bottom"/>
    </xf>
    <xf borderId="0" fillId="5" fontId="7" numFmtId="0" xfId="0" applyAlignment="1" applyFill="1" applyFont="1">
      <alignment horizontal="right" readingOrder="0" vertical="bottom"/>
    </xf>
    <xf borderId="1" fillId="5" fontId="7" numFmtId="14" xfId="0" applyAlignment="1" applyBorder="1" applyFill="1" applyFont="1" applyNumberFormat="1">
      <alignment horizontal="right" vertical="bottom"/>
    </xf>
    <xf borderId="1" fillId="0" fontId="8" numFmtId="10" xfId="0" applyBorder="1" applyFont="1" applyNumberFormat="1"/>
    <xf borderId="1" fillId="5" fontId="7" numFmtId="0" xfId="0" applyAlignment="1" applyBorder="1" applyFill="1" applyFont="1">
      <alignment horizontal="center" readingOrder="0" vertical="bottom"/>
    </xf>
    <xf borderId="1" fillId="5" fontId="7" numFmtId="0" xfId="0" applyAlignment="1" applyBorder="1" applyFill="1" applyFont="1">
      <alignment horizontal="right" readingOrder="0" vertical="bottom"/>
    </xf>
    <xf borderId="0" fillId="5" fontId="7" numFmtId="0" xfId="0" applyAlignment="1" applyFill="1" applyFont="1">
      <alignment horizontal="right" readingOrder="0" vertical="bottom"/>
    </xf>
    <xf borderId="0" fillId="0" fontId="5" numFmtId="10" xfId="0" applyFont="1" applyNumberFormat="1"/>
    <xf borderId="1" fillId="6" fontId="9" numFmtId="0" xfId="0" applyAlignment="1" applyBorder="1" applyFill="1" applyFont="1">
      <alignment horizontal="right" readingOrder="0" vertical="bottom"/>
    </xf>
    <xf borderId="1" fillId="6" fontId="9" numFmtId="164" xfId="0" applyAlignment="1" applyBorder="1" applyFill="1" applyFont="1" applyNumberFormat="1">
      <alignment horizontal="right" readingOrder="0" vertical="bottom"/>
    </xf>
    <xf borderId="1" fillId="6" fontId="9" numFmtId="165" xfId="0" applyAlignment="1" applyBorder="1" applyFill="1" applyFont="1" applyNumberFormat="1">
      <alignment horizontal="right" vertical="bottom"/>
    </xf>
    <xf borderId="1" fillId="7" fontId="1" numFmtId="0" xfId="0" applyAlignment="1" applyBorder="1" applyFill="1" applyFont="1">
      <alignment readingOrder="0" shrinkToFit="0" vertical="bottom" wrapText="1"/>
    </xf>
    <xf borderId="1" fillId="7" fontId="1" numFmtId="0" xfId="0" applyAlignment="1" applyBorder="1" applyFill="1" applyFont="1">
      <alignment readingOrder="0" vertical="bottom"/>
    </xf>
    <xf borderId="1" fillId="7" fontId="1" numFmtId="0" xfId="0" applyAlignment="1" applyBorder="1" applyFill="1" applyFont="1">
      <alignment vertical="bottom"/>
    </xf>
    <xf borderId="1" fillId="8" fontId="7" numFmtId="0" xfId="0" applyAlignment="1" applyBorder="1" applyFill="1" applyFont="1">
      <alignment horizontal="right" vertical="bottom"/>
    </xf>
    <xf borderId="1" fillId="8" fontId="7" numFmtId="0" xfId="0" applyAlignment="1" applyBorder="1" applyFill="1" applyFont="1">
      <alignment horizontal="right" readingOrder="0" vertical="bottom"/>
    </xf>
    <xf borderId="1" fillId="8" fontId="7" numFmtId="14" xfId="0" applyAlignment="1" applyBorder="1" applyFill="1" applyFont="1" applyNumberFormat="1">
      <alignment horizontal="right" vertical="bottom"/>
    </xf>
    <xf borderId="1" fillId="8" fontId="7" numFmtId="0" xfId="0" applyAlignment="1" applyBorder="1" applyFill="1" applyFont="1">
      <alignment horizontal="center" readingOrder="0" vertical="bottom"/>
    </xf>
    <xf borderId="0" fillId="8" fontId="7" numFmtId="0" xfId="0" applyAlignment="1" applyFill="1" applyFont="1">
      <alignment horizontal="right" readingOrder="0" vertical="bottom"/>
    </xf>
    <xf borderId="1" fillId="7" fontId="1" numFmtId="0" xfId="0" applyAlignment="1" applyBorder="1" applyFill="1" applyFont="1">
      <alignment shrinkToFit="0" vertical="bottom" wrapText="1"/>
    </xf>
    <xf borderId="1" fillId="9" fontId="7" numFmtId="0" xfId="0" applyAlignment="1" applyBorder="1" applyFill="1" applyFont="1">
      <alignment horizontal="right" vertical="bottom"/>
    </xf>
    <xf borderId="1" fillId="9" fontId="7" numFmtId="0" xfId="0" applyAlignment="1" applyBorder="1" applyFill="1" applyFont="1">
      <alignment horizontal="right" readingOrder="0" vertical="bottom"/>
    </xf>
    <xf borderId="1" fillId="9" fontId="7" numFmtId="14" xfId="0" applyAlignment="1" applyBorder="1" applyFill="1" applyFont="1" applyNumberFormat="1">
      <alignment horizontal="right" vertical="bottom"/>
    </xf>
    <xf borderId="1" fillId="9" fontId="7" numFmtId="0" xfId="0" applyAlignment="1" applyBorder="1" applyFill="1" applyFont="1">
      <alignment horizontal="center" readingOrder="0" vertical="bottom"/>
    </xf>
    <xf borderId="0" fillId="9" fontId="7" numFmtId="0" xfId="0" applyAlignment="1" applyFill="1" applyFont="1">
      <alignment horizontal="right" readingOrder="0" vertical="bottom"/>
    </xf>
    <xf borderId="1" fillId="6" fontId="1" numFmtId="0" xfId="0" applyAlignment="1" applyBorder="1" applyFill="1" applyFont="1">
      <alignment horizontal="right" vertical="bottom"/>
    </xf>
    <xf borderId="1" fillId="6" fontId="1" numFmtId="164" xfId="0" applyAlignment="1" applyBorder="1" applyFill="1" applyFont="1" applyNumberFormat="1">
      <alignment horizontal="right" vertical="bottom"/>
    </xf>
    <xf borderId="1" fillId="6" fontId="1" numFmtId="165" xfId="0" applyAlignment="1" applyBorder="1" applyFill="1" applyFont="1" applyNumberFormat="1">
      <alignment horizontal="right" vertical="bottom"/>
    </xf>
    <xf borderId="3" fillId="10" fontId="10" numFmtId="0" xfId="0" applyAlignment="1" applyBorder="1" applyFill="1" applyFont="1">
      <alignment horizontal="center" readingOrder="0" shrinkToFit="0" vertical="bottom" wrapText="1"/>
    </xf>
    <xf borderId="1" fillId="11" fontId="7" numFmtId="0" xfId="0" applyAlignment="1" applyBorder="1" applyFill="1" applyFont="1">
      <alignment horizontal="right" vertical="bottom"/>
    </xf>
    <xf borderId="1" fillId="11" fontId="7" numFmtId="0" xfId="0" applyAlignment="1" applyBorder="1" applyFill="1" applyFont="1">
      <alignment horizontal="right" readingOrder="0" vertical="bottom"/>
    </xf>
    <xf borderId="1" fillId="11" fontId="7" numFmtId="14" xfId="0" applyAlignment="1" applyBorder="1" applyFill="1" applyFont="1" applyNumberFormat="1">
      <alignment horizontal="right" vertical="bottom"/>
    </xf>
    <xf borderId="1" fillId="0" fontId="1" numFmtId="0" xfId="0" applyAlignment="1" applyBorder="1" applyFont="1">
      <alignment readingOrder="0" shrinkToFit="0" vertical="bottom" wrapText="1"/>
    </xf>
    <xf borderId="1" fillId="12" fontId="7" numFmtId="0" xfId="0" applyAlignment="1" applyBorder="1" applyFill="1" applyFont="1">
      <alignment horizontal="right" readingOrder="0" shrinkToFit="0" vertical="bottom" wrapText="1"/>
    </xf>
    <xf borderId="1" fillId="13" fontId="11" numFmtId="0" xfId="0" applyAlignment="1" applyBorder="1" applyFill="1" applyFont="1">
      <alignment horizontal="right" readingOrder="0" vertical="bottom"/>
    </xf>
    <xf borderId="1" fillId="13" fontId="11" numFmtId="0" xfId="0" applyAlignment="1" applyBorder="1" applyFill="1" applyFont="1">
      <alignment readingOrder="0" vertical="bottom"/>
    </xf>
    <xf borderId="1" fillId="13" fontId="11" numFmtId="164" xfId="0" applyAlignment="1" applyBorder="1" applyFill="1" applyFont="1" applyNumberFormat="1">
      <alignment readingOrder="0" vertical="bottom"/>
    </xf>
    <xf borderId="1" fillId="13" fontId="7" numFmtId="14" xfId="0" applyAlignment="1" applyBorder="1" applyFill="1" applyFont="1" applyNumberFormat="1">
      <alignment horizontal="right" vertical="bottom"/>
    </xf>
    <xf borderId="1" fillId="14" fontId="11" numFmtId="0" xfId="0" applyAlignment="1" applyBorder="1" applyFill="1" applyFont="1">
      <alignment horizontal="right" readingOrder="0" vertical="bottom"/>
    </xf>
    <xf borderId="1" fillId="14" fontId="11" numFmtId="0" xfId="0" applyAlignment="1" applyBorder="1" applyFill="1" applyFont="1">
      <alignment readingOrder="0" vertical="bottom"/>
    </xf>
    <xf borderId="1" fillId="14" fontId="11" numFmtId="164" xfId="0" applyAlignment="1" applyBorder="1" applyFill="1" applyFont="1" applyNumberFormat="1">
      <alignment readingOrder="0" vertical="bottom"/>
    </xf>
    <xf borderId="1" fillId="14" fontId="7" numFmtId="14" xfId="0" applyAlignment="1" applyBorder="1" applyFill="1" applyFont="1" applyNumberFormat="1">
      <alignment horizontal="right" vertical="bottom"/>
    </xf>
    <xf borderId="0" fillId="14" fontId="5" numFmtId="0" xfId="0" applyAlignment="1" applyFill="1" applyFont="1">
      <alignment horizontal="center" readingOrder="0"/>
    </xf>
    <xf borderId="1" fillId="14" fontId="5" numFmtId="0" xfId="0" applyAlignment="1" applyBorder="1" applyFill="1" applyFont="1">
      <alignment readingOrder="0"/>
    </xf>
    <xf borderId="0" fillId="14" fontId="5" numFmtId="0" xfId="0" applyAlignment="1" applyFill="1" applyFont="1">
      <alignment readingOrder="0"/>
    </xf>
    <xf borderId="1" fillId="15" fontId="11" numFmtId="0" xfId="0" applyAlignment="1" applyBorder="1" applyFill="1" applyFont="1">
      <alignment horizontal="right" readingOrder="0" vertical="bottom"/>
    </xf>
    <xf borderId="1" fillId="15" fontId="11" numFmtId="0" xfId="0" applyAlignment="1" applyBorder="1" applyFill="1" applyFont="1">
      <alignment readingOrder="0" vertical="bottom"/>
    </xf>
    <xf borderId="1" fillId="15" fontId="11" numFmtId="164" xfId="0" applyAlignment="1" applyBorder="1" applyFill="1" applyFont="1" applyNumberFormat="1">
      <alignment readingOrder="0" vertical="bottom"/>
    </xf>
    <xf borderId="1" fillId="15" fontId="7" numFmtId="14" xfId="0" applyAlignment="1" applyBorder="1" applyFill="1" applyFont="1" applyNumberFormat="1">
      <alignment horizontal="right" vertical="bottom"/>
    </xf>
    <xf borderId="0" fillId="0" fontId="12" numFmtId="0" xfId="0" applyAlignment="1" applyFont="1">
      <alignment readingOrder="0" shrinkToFit="0" wrapText="1"/>
    </xf>
    <xf borderId="1" fillId="16" fontId="11" numFmtId="0" xfId="0" applyAlignment="1" applyBorder="1" applyFill="1" applyFont="1">
      <alignment horizontal="right" readingOrder="0" vertical="bottom"/>
    </xf>
    <xf borderId="1" fillId="16" fontId="11" numFmtId="0" xfId="0" applyAlignment="1" applyBorder="1" applyFill="1" applyFont="1">
      <alignment readingOrder="0" vertical="bottom"/>
    </xf>
    <xf borderId="1" fillId="16" fontId="11" numFmtId="164" xfId="0" applyAlignment="1" applyBorder="1" applyFill="1" applyFont="1" applyNumberFormat="1">
      <alignment readingOrder="0" vertical="bottom"/>
    </xf>
    <xf borderId="1" fillId="16" fontId="7" numFmtId="14" xfId="0" applyAlignment="1" applyBorder="1" applyFill="1" applyFont="1" applyNumberFormat="1">
      <alignment horizontal="right" vertical="bottom"/>
    </xf>
    <xf borderId="1" fillId="16" fontId="7" numFmtId="0" xfId="0" applyAlignment="1" applyBorder="1" applyFill="1" applyFont="1">
      <alignment horizontal="center" readingOrder="0" vertical="bottom"/>
    </xf>
    <xf borderId="1" fillId="16" fontId="7" numFmtId="0" xfId="0" applyAlignment="1" applyBorder="1" applyFill="1" applyFont="1">
      <alignment horizontal="right" readingOrder="0" vertical="bottom"/>
    </xf>
    <xf borderId="0" fillId="16" fontId="7" numFmtId="0" xfId="0" applyAlignment="1" applyFill="1" applyFont="1">
      <alignment horizontal="right" readingOrder="0" vertical="bottom"/>
    </xf>
    <xf borderId="1" fillId="17" fontId="1" numFmtId="0" xfId="0" applyAlignment="1" applyBorder="1" applyFill="1" applyFont="1">
      <alignment horizontal="right" vertical="bottom"/>
    </xf>
    <xf borderId="1" fillId="17" fontId="1" numFmtId="164" xfId="0" applyAlignment="1" applyBorder="1" applyFill="1" applyFont="1" applyNumberFormat="1">
      <alignment horizontal="right" vertical="bottom"/>
    </xf>
    <xf borderId="1" fillId="17" fontId="1" numFmtId="165" xfId="0" applyAlignment="1" applyBorder="1" applyFill="1" applyFont="1" applyNumberFormat="1">
      <alignment horizontal="right" vertical="bottom"/>
    </xf>
    <xf borderId="4" fillId="7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Font="1"/>
    <xf borderId="0" fillId="0" fontId="1" numFmtId="166" xfId="0" applyAlignment="1" applyFont="1" applyNumberFormat="1">
      <alignment vertical="bottom"/>
    </xf>
    <xf borderId="0" fillId="0" fontId="5" numFmtId="14" xfId="0" applyFont="1" applyNumberFormat="1"/>
    <xf borderId="4" fillId="7" fontId="1" numFmtId="0" xfId="0" applyAlignment="1" applyBorder="1" applyFill="1" applyFont="1">
      <alignment readingOrder="0" shrinkToFit="0" vertical="bottom" wrapText="1"/>
    </xf>
    <xf borderId="1" fillId="7" fontId="1" numFmtId="0" xfId="0" applyAlignment="1" applyBorder="1" applyFill="1" applyFont="1">
      <alignment readingOrder="0" shrinkToFit="0" vertical="bottom" wrapText="1"/>
    </xf>
    <xf borderId="1" fillId="18" fontId="1" numFmtId="165" xfId="0" applyAlignment="1" applyBorder="1" applyFill="1" applyFont="1" applyNumberFormat="1">
      <alignment horizontal="right" vertical="bottom"/>
    </xf>
    <xf borderId="1" fillId="5" fontId="7" numFmtId="0" xfId="0" applyAlignment="1" applyBorder="1" applyFill="1" applyFont="1">
      <alignment horizontal="right" readingOrder="0" shrinkToFit="0" vertical="bottom" wrapText="1"/>
    </xf>
    <xf borderId="0" fillId="0" fontId="1" numFmtId="14" xfId="0" applyAlignment="1" applyFont="1" applyNumberFormat="1">
      <alignment vertical="bottom"/>
    </xf>
    <xf borderId="4" fillId="0" fontId="1" numFmtId="0" xfId="0" applyAlignment="1" applyBorder="1" applyFont="1">
      <alignment readingOrder="0" shrinkToFit="0" vertical="bottom" wrapText="1"/>
    </xf>
    <xf borderId="1" fillId="6" fontId="1" numFmtId="0" xfId="0" applyAlignment="1" applyBorder="1" applyFill="1" applyFont="1">
      <alignment horizontal="right" vertical="bottom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shrinkToFit="0" vertical="bottom" wrapText="1"/>
    </xf>
    <xf borderId="0" fillId="0" fontId="1" numFmtId="164" xfId="0" applyAlignment="1" applyFont="1" applyNumberFormat="1">
      <alignment readingOrder="0" vertical="bottom"/>
    </xf>
    <xf borderId="4" fillId="0" fontId="1" numFmtId="0" xfId="0" applyAlignment="1" applyBorder="1" applyFont="1">
      <alignment shrinkToFit="0" vertical="bottom" wrapText="1"/>
    </xf>
    <xf borderId="1" fillId="17" fontId="1" numFmtId="0" xfId="0" applyAlignment="1" applyBorder="1" applyFill="1" applyFont="1">
      <alignment horizontal="right" vertical="bottom"/>
    </xf>
    <xf borderId="1" fillId="0" fontId="5" numFmtId="0" xfId="0" applyBorder="1" applyFont="1"/>
    <xf borderId="1" fillId="19" fontId="13" numFmtId="0" xfId="0" applyAlignment="1" applyBorder="1" applyFill="1" applyFont="1">
      <alignment readingOrder="0" shrinkToFit="0" vertical="bottom" wrapText="1"/>
    </xf>
    <xf borderId="1" fillId="19" fontId="1" numFmtId="0" xfId="0" applyAlignment="1" applyBorder="1" applyFill="1" applyFont="1">
      <alignment readingOrder="0" shrinkToFit="0" vertical="bottom" wrapText="1"/>
    </xf>
    <xf borderId="1" fillId="20" fontId="1" numFmtId="0" xfId="0" applyAlignment="1" applyBorder="1" applyFill="1" applyFont="1">
      <alignment readingOrder="0" shrinkToFit="0" vertical="bottom" wrapText="1"/>
    </xf>
    <xf borderId="1" fillId="10" fontId="1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horizontal="right" readingOrder="0" shrinkToFit="0" vertical="bottom" wrapText="1"/>
    </xf>
    <xf borderId="1" fillId="10" fontId="1" numFmtId="0" xfId="0" applyAlignment="1" applyBorder="1" applyFill="1" applyFont="1">
      <alignment readingOrder="0" shrinkToFit="0" vertical="bottom" wrapText="1"/>
    </xf>
    <xf borderId="0" fillId="10" fontId="12" numFmtId="0" xfId="0" applyAlignment="1" applyFill="1" applyFont="1">
      <alignment readingOrder="0" shrinkToFit="0" wrapText="1"/>
    </xf>
    <xf borderId="1" fillId="10" fontId="1" numFmtId="0" xfId="0" applyAlignment="1" applyBorder="1" applyFill="1" applyFont="1">
      <alignment horizontal="right" shrinkToFit="0" vertical="bottom" wrapText="1"/>
    </xf>
    <xf borderId="1" fillId="10" fontId="1" numFmtId="164" xfId="0" applyAlignment="1" applyBorder="1" applyFill="1" applyFont="1" applyNumberFormat="1">
      <alignment horizontal="right" shrinkToFit="0" vertical="bottom" wrapText="1"/>
    </xf>
    <xf borderId="1" fillId="10" fontId="1" numFmtId="0" xfId="0" applyAlignment="1" applyBorder="1" applyFill="1" applyFont="1">
      <alignment horizontal="right" readingOrder="0" shrinkToFit="0" vertical="bottom" wrapText="1"/>
    </xf>
    <xf borderId="1" fillId="21" fontId="1" numFmtId="0" xfId="0" applyAlignment="1" applyBorder="1" applyFill="1" applyFont="1">
      <alignment horizontal="right" vertical="bottom"/>
    </xf>
    <xf borderId="1" fillId="21" fontId="1" numFmtId="164" xfId="0" applyAlignment="1" applyBorder="1" applyFill="1" applyFont="1" applyNumberFormat="1">
      <alignment horizontal="right" vertical="bottom"/>
    </xf>
    <xf borderId="1" fillId="21" fontId="1" numFmtId="165" xfId="0" applyAlignment="1" applyBorder="1" applyFill="1" applyFont="1" applyNumberFormat="1">
      <alignment horizontal="right" vertical="bottom"/>
    </xf>
    <xf borderId="1" fillId="8" fontId="7" numFmtId="0" xfId="0" applyAlignment="1" applyBorder="1" applyFill="1" applyFont="1">
      <alignment horizontal="right" readingOrder="0" vertical="bottom"/>
    </xf>
    <xf borderId="4" fillId="22" fontId="1" numFmtId="0" xfId="0" applyAlignment="1" applyBorder="1" applyFill="1" applyFont="1">
      <alignment readingOrder="0" shrinkToFit="0" vertical="bottom" wrapText="1"/>
    </xf>
    <xf borderId="1" fillId="17" fontId="11" numFmtId="0" xfId="0" applyAlignment="1" applyBorder="1" applyFill="1" applyFont="1">
      <alignment readingOrder="0" vertical="bottom"/>
    </xf>
    <xf borderId="1" fillId="10" fontId="7" numFmtId="0" xfId="0" applyAlignment="1" applyBorder="1" applyFill="1" applyFont="1">
      <alignment horizontal="right" readingOrder="0" vertical="bottom"/>
    </xf>
    <xf borderId="1" fillId="22" fontId="1" numFmtId="0" xfId="0" applyAlignment="1" applyBorder="1" applyFill="1" applyFont="1">
      <alignment readingOrder="0" shrinkToFit="0" vertical="bottom" wrapText="1"/>
    </xf>
    <xf borderId="1" fillId="10" fontId="1" numFmtId="0" xfId="0" applyAlignment="1" applyBorder="1" applyFill="1" applyFont="1">
      <alignment horizontal="right" vertical="bottom"/>
    </xf>
    <xf borderId="1" fillId="10" fontId="1" numFmtId="164" xfId="0" applyAlignment="1" applyBorder="1" applyFill="1" applyFont="1" applyNumberFormat="1">
      <alignment horizontal="right" vertical="bottom"/>
    </xf>
    <xf borderId="1" fillId="10" fontId="1" numFmtId="165" xfId="0" applyAlignment="1" applyBorder="1" applyFill="1" applyFont="1" applyNumberFormat="1">
      <alignment horizontal="right" vertical="bottom"/>
    </xf>
    <xf borderId="1" fillId="10" fontId="1" numFmtId="0" xfId="0" applyAlignment="1" applyBorder="1" applyFill="1" applyFont="1">
      <alignment shrinkToFit="0" vertical="bottom" wrapText="1"/>
    </xf>
    <xf borderId="1" fillId="10" fontId="1" numFmtId="0" xfId="0" applyAlignment="1" applyBorder="1" applyFill="1" applyFont="1">
      <alignment horizontal="right" vertical="bottom"/>
    </xf>
    <xf borderId="1" fillId="9" fontId="1" numFmtId="0" xfId="0" applyAlignment="1" applyBorder="1" applyFill="1" applyFont="1">
      <alignment readingOrder="0" shrinkToFit="0" vertical="bottom" wrapText="1"/>
    </xf>
    <xf borderId="1" fillId="9" fontId="11" numFmtId="0" xfId="0" applyAlignment="1" applyBorder="1" applyFill="1" applyFont="1">
      <alignment readingOrder="0" vertical="bottom"/>
    </xf>
    <xf borderId="1" fillId="10" fontId="11" numFmtId="0" xfId="0" applyAlignment="1" applyBorder="1" applyFill="1" applyFont="1">
      <alignment readingOrder="0" vertical="bottom"/>
    </xf>
    <xf borderId="1" fillId="7" fontId="1" numFmtId="0" xfId="0" applyAlignment="1" applyBorder="1" applyFill="1" applyFont="1">
      <alignment vertical="bottom"/>
    </xf>
    <xf borderId="1" fillId="23" fontId="11" numFmtId="0" xfId="0" applyAlignment="1" applyBorder="1" applyFill="1" applyFont="1">
      <alignment horizontal="right" vertical="bottom"/>
    </xf>
    <xf borderId="1" fillId="0" fontId="1" numFmtId="0" xfId="0" applyAlignment="1" applyBorder="1" applyFont="1">
      <alignment horizontal="right" shrinkToFit="0" vertical="bottom" wrapText="1"/>
    </xf>
    <xf borderId="1" fillId="23" fontId="11" numFmtId="0" xfId="0" applyAlignment="1" applyBorder="1" applyFill="1" applyFont="1">
      <alignment horizontal="right" vertical="bottom"/>
    </xf>
    <xf borderId="1" fillId="24" fontId="1" numFmtId="0" xfId="0" applyAlignment="1" applyBorder="1" applyFill="1" applyFont="1">
      <alignment shrinkToFit="0" vertical="bottom" wrapText="1"/>
    </xf>
    <xf borderId="1" fillId="6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readingOrder="0" vertical="bottom"/>
    </xf>
    <xf borderId="1" fillId="10" fontId="1" numFmtId="0" xfId="0" applyAlignment="1" applyBorder="1" applyFill="1" applyFont="1">
      <alignment readingOrder="0" shrinkToFit="0" vertical="bottom" wrapText="1"/>
    </xf>
    <xf borderId="1" fillId="10" fontId="1" numFmtId="0" xfId="0" applyAlignment="1" applyBorder="1" applyFill="1" applyFont="1">
      <alignment vertical="bottom"/>
    </xf>
    <xf borderId="1" fillId="10" fontId="12" numFmtId="0" xfId="0" applyAlignment="1" applyBorder="1" applyFill="1" applyFont="1">
      <alignment readingOrder="0" shrinkToFit="0" wrapText="1"/>
    </xf>
    <xf borderId="1" fillId="10" fontId="1" numFmtId="0" xfId="0" applyAlignment="1" applyBorder="1" applyFill="1" applyFont="1">
      <alignment readingOrder="0" vertical="bottom"/>
    </xf>
    <xf borderId="1" fillId="10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shrinkToFit="0" vertical="bottom" wrapText="1"/>
    </xf>
    <xf borderId="0" fillId="22" fontId="1" numFmtId="0" xfId="0" applyAlignment="1" applyFill="1" applyFont="1">
      <alignment readingOrder="0" vertical="bottom"/>
    </xf>
    <xf borderId="1" fillId="10" fontId="5" numFmtId="0" xfId="0" applyAlignment="1" applyBorder="1" applyFill="1" applyFont="1">
      <alignment shrinkToFit="0" wrapText="1"/>
    </xf>
    <xf borderId="1" fillId="10" fontId="5" numFmtId="0" xfId="0" applyBorder="1" applyFill="1" applyFont="1"/>
    <xf borderId="1" fillId="10" fontId="1" numFmtId="0" xfId="0" applyAlignment="1" applyBorder="1" applyFill="1" applyFont="1">
      <alignment vertical="bottom"/>
    </xf>
    <xf borderId="1" fillId="25" fontId="1" numFmtId="0" xfId="0" applyAlignment="1" applyBorder="1" applyFill="1" applyFont="1">
      <alignment readingOrder="0" shrinkToFit="0" vertical="bottom" wrapText="1"/>
    </xf>
    <xf borderId="1" fillId="25" fontId="1" numFmtId="0" xfId="0" applyAlignment="1" applyBorder="1" applyFill="1" applyFont="1">
      <alignment vertical="bottom"/>
    </xf>
    <xf borderId="1" fillId="25" fontId="1" numFmtId="0" xfId="0" applyAlignment="1" applyBorder="1" applyFill="1" applyFont="1">
      <alignment readingOrder="0" shrinkToFit="0" vertical="bottom" wrapText="1"/>
    </xf>
    <xf borderId="1" fillId="25" fontId="11" numFmtId="0" xfId="0" applyAlignment="1" applyBorder="1" applyFill="1" applyFont="1">
      <alignment readingOrder="0" vertical="bottom"/>
    </xf>
    <xf borderId="1" fillId="21" fontId="1" numFmtId="0" xfId="0" applyAlignment="1" applyBorder="1" applyFill="1" applyFont="1">
      <alignment horizontal="right" vertical="bottom"/>
    </xf>
    <xf borderId="1" fillId="9" fontId="7" numFmtId="0" xfId="0" applyAlignment="1" applyBorder="1" applyFill="1" applyFont="1">
      <alignment horizontal="right" vertical="bottom"/>
    </xf>
    <xf borderId="4" fillId="24" fontId="1" numFmtId="0" xfId="0" applyAlignment="1" applyBorder="1" applyFill="1" applyFont="1">
      <alignment readingOrder="0" shrinkToFit="0" vertical="bottom" wrapText="1"/>
    </xf>
    <xf borderId="4" fillId="7" fontId="1" numFmtId="0" xfId="0" applyAlignment="1" applyBorder="1" applyFill="1" applyFont="1">
      <alignment shrinkToFit="0" vertical="bottom" wrapText="1"/>
    </xf>
    <xf borderId="1" fillId="0" fontId="14" numFmtId="0" xfId="0" applyAlignment="1" applyBorder="1" applyFont="1">
      <alignment readingOrder="0" shrinkToFit="0" vertical="bottom" wrapText="1"/>
    </xf>
    <xf borderId="4" fillId="26" fontId="1" numFmtId="0" xfId="0" applyAlignment="1" applyBorder="1" applyFill="1" applyFont="1">
      <alignment readingOrder="0" shrinkToFit="0" vertical="bottom" wrapText="1"/>
    </xf>
    <xf borderId="4" fillId="26" fontId="1" numFmtId="0" xfId="0" applyAlignment="1" applyBorder="1" applyFill="1" applyFont="1">
      <alignment shrinkToFit="0" vertical="bottom" wrapText="1"/>
    </xf>
    <xf borderId="4" fillId="26" fontId="1" numFmtId="0" xfId="0" applyAlignment="1" applyBorder="1" applyFill="1" applyFont="1">
      <alignment shrinkToFit="0" vertical="bottom" wrapText="1"/>
    </xf>
    <xf borderId="4" fillId="27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vertical="bottom"/>
    </xf>
    <xf borderId="1" fillId="0" fontId="7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10" fontId="9" numFmtId="0" xfId="0" applyAlignment="1" applyBorder="1" applyFill="1" applyFont="1">
      <alignment horizontal="right" readingOrder="0" vertical="bottom"/>
    </xf>
    <xf borderId="1" fillId="10" fontId="9" numFmtId="164" xfId="0" applyAlignment="1" applyBorder="1" applyFill="1" applyFont="1" applyNumberFormat="1">
      <alignment horizontal="right" vertical="bottom"/>
    </xf>
    <xf borderId="1" fillId="10" fontId="9" numFmtId="164" xfId="0" applyAlignment="1" applyBorder="1" applyFill="1" applyFont="1" applyNumberFormat="1">
      <alignment horizontal="right" shrinkToFit="0" vertical="bottom" wrapText="1"/>
    </xf>
    <xf borderId="0" fillId="10" fontId="5" numFmtId="0" xfId="0" applyFill="1" applyFont="1"/>
    <xf quotePrefix="1" borderId="0" fillId="0" fontId="15" numFmtId="0" xfId="0" applyAlignment="1" applyFont="1">
      <alignment horizontal="left" readingOrder="0"/>
    </xf>
    <xf borderId="0" fillId="17" fontId="1" numFmtId="0" xfId="0" applyAlignment="1" applyFill="1" applyFont="1">
      <alignment readingOrder="0" shrinkToFit="0" vertical="bottom" wrapText="1"/>
    </xf>
    <xf borderId="0" fillId="28" fontId="1" numFmtId="0" xfId="0" applyAlignment="1" applyFill="1" applyFont="1">
      <alignment shrinkToFit="0" vertical="bottom" wrapText="1"/>
    </xf>
    <xf borderId="0" fillId="28" fontId="1" numFmtId="0" xfId="0" applyAlignment="1" applyFill="1" applyFont="1">
      <alignment readingOrder="0" shrinkToFit="0" vertical="bottom" wrapText="1"/>
    </xf>
    <xf borderId="0" fillId="7" fontId="1" numFmtId="0" xfId="0" applyAlignment="1" applyFill="1" applyFont="1">
      <alignment shrinkToFit="0" vertical="bottom" wrapText="1"/>
    </xf>
    <xf borderId="0" fillId="7" fontId="1" numFmtId="0" xfId="0" applyAlignment="1" applyFill="1" applyFont="1">
      <alignment readingOrder="0" shrinkToFit="0" vertical="bottom" wrapText="1"/>
    </xf>
    <xf borderId="0" fillId="27" fontId="1" numFmtId="0" xfId="0" applyAlignment="1" applyFill="1" applyFont="1">
      <alignment shrinkToFit="0" vertical="bottom" wrapText="1"/>
    </xf>
    <xf borderId="0" fillId="27" fontId="1" numFmtId="0" xfId="0" applyAlignment="1" applyFill="1" applyFont="1">
      <alignment readingOrder="0" shrinkToFit="0" vertical="bottom" wrapText="1"/>
    </xf>
    <xf borderId="0" fillId="7" fontId="13" numFmtId="0" xfId="0" applyAlignment="1" applyFill="1" applyFont="1">
      <alignment shrinkToFit="0" vertical="bottom" wrapText="1"/>
    </xf>
    <xf borderId="5" fillId="27" fontId="1" numFmtId="0" xfId="0" applyAlignment="1" applyBorder="1" applyFill="1" applyFont="1">
      <alignment readingOrder="0" shrinkToFit="0" vertical="bottom" wrapText="1"/>
    </xf>
    <xf borderId="5" fillId="7" fontId="13" numFmtId="0" xfId="0" applyAlignment="1" applyBorder="1" applyFill="1" applyFont="1">
      <alignment shrinkToFit="0" vertical="bottom" wrapText="1"/>
    </xf>
    <xf borderId="0" fillId="29" fontId="1" numFmtId="0" xfId="0" applyAlignment="1" applyFill="1" applyFont="1">
      <alignment shrinkToFit="0" vertical="bottom" wrapText="1"/>
    </xf>
    <xf borderId="0" fillId="30" fontId="1" numFmtId="0" xfId="0" applyAlignment="1" applyFill="1" applyFont="1">
      <alignment readingOrder="0" shrinkToFit="0" vertical="bottom" wrapText="1"/>
    </xf>
    <xf borderId="0" fillId="30" fontId="1" numFmtId="0" xfId="0" applyAlignment="1" applyFill="1" applyFont="1">
      <alignment shrinkToFit="0" vertical="bottom" wrapText="1"/>
    </xf>
    <xf borderId="0" fillId="31" fontId="1" numFmtId="0" xfId="0" applyAlignment="1" applyFill="1" applyFont="1">
      <alignment shrinkToFit="0" vertical="bottom" wrapText="1"/>
    </xf>
    <xf borderId="0" fillId="30" fontId="1" numFmtId="0" xfId="0" applyAlignment="1" applyFill="1" applyFont="1">
      <alignment shrinkToFit="0" vertical="bottom" wrapText="1"/>
    </xf>
    <xf borderId="5" fillId="30" fontId="1" numFmtId="0" xfId="0" applyAlignment="1" applyBorder="1" applyFill="1" applyFont="1">
      <alignment readingOrder="0" shrinkToFit="0" vertical="bottom" wrapText="1"/>
    </xf>
    <xf borderId="6" fillId="17" fontId="1" numFmtId="0" xfId="0" applyAlignment="1" applyBorder="1" applyFill="1" applyFont="1">
      <alignment readingOrder="0" shrinkToFit="0" vertical="bottom" wrapText="1"/>
    </xf>
    <xf borderId="6" fillId="17" fontId="1" numFmtId="0" xfId="0" applyAlignment="1" applyBorder="1" applyFill="1" applyFont="1">
      <alignment shrinkToFit="0" vertical="bottom" wrapText="1"/>
    </xf>
    <xf borderId="7" fillId="0" fontId="1" numFmtId="0" xfId="0" applyAlignment="1" applyBorder="1" applyFont="1">
      <alignment vertical="bottom"/>
    </xf>
    <xf borderId="6" fillId="28" fontId="1" numFmtId="0" xfId="0" applyAlignment="1" applyBorder="1" applyFill="1" applyFont="1">
      <alignment shrinkToFit="0" vertical="bottom" wrapText="1"/>
    </xf>
    <xf borderId="6" fillId="28" fontId="1" numFmtId="0" xfId="0" applyAlignment="1" applyBorder="1" applyFill="1" applyFont="1">
      <alignment readingOrder="0" shrinkToFit="0" vertical="bottom" wrapText="1"/>
    </xf>
    <xf borderId="0" fillId="7" fontId="1" numFmtId="0" xfId="0" applyAlignment="1" applyFill="1" applyFont="1">
      <alignment shrinkToFit="0" vertical="bottom" wrapText="1"/>
    </xf>
    <xf borderId="1" fillId="32" fontId="16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33" fontId="1" numFmtId="0" xfId="0" applyAlignment="1" applyBorder="1" applyFill="1" applyFont="1">
      <alignment horizontal="center" readingOrder="0" vertical="bottom"/>
    </xf>
    <xf borderId="1" fillId="27" fontId="5" numFmtId="0" xfId="0" applyAlignment="1" applyBorder="1" applyFill="1" applyFont="1">
      <alignment horizontal="center" readingOrder="0"/>
    </xf>
    <xf borderId="1" fillId="25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 outlineLevelCol="1"/>
  <cols>
    <col customWidth="1" min="1" max="1" width="2.88"/>
    <col customWidth="1" min="2" max="2" width="7.38"/>
    <col customWidth="1" min="3" max="3" width="3.63"/>
    <col customWidth="1" min="4" max="4" width="23.13"/>
    <col customWidth="1" min="5" max="5" width="2.38"/>
    <col customWidth="1" min="6" max="6" width="3.13"/>
    <col customWidth="1" min="7" max="7" width="38.13"/>
    <col customWidth="1" min="8" max="8" width="2.38"/>
    <col customWidth="1" min="9" max="9" width="3.13"/>
    <col collapsed="1" customWidth="1" min="10" max="10" width="38.13"/>
    <col customWidth="1" hidden="1" min="11" max="11" width="2.63" outlineLevel="1"/>
    <col customWidth="1" hidden="1" min="12" max="12" width="4.0" outlineLevel="1"/>
    <col customWidth="1" hidden="1" min="13" max="13" width="22.5" outlineLevel="1"/>
    <col customWidth="1" hidden="1" min="14" max="14" width="2.63" outlineLevel="1"/>
    <col customWidth="1" hidden="1" min="15" max="15" width="4.0" outlineLevel="1"/>
    <col customWidth="1" hidden="1" min="16" max="16" width="20.0" outlineLevel="1"/>
    <col customWidth="1" min="17" max="17" width="3.88"/>
    <col customWidth="1" min="18" max="18" width="6.13"/>
    <col customWidth="1" min="19" max="19" width="6.25"/>
    <col customWidth="1" min="20" max="20" width="4.0"/>
    <col customWidth="1" hidden="1" min="21" max="21" width="3.88"/>
    <col customWidth="1" min="22" max="22" width="10.13"/>
    <col customWidth="1" min="23" max="23" width="12.0"/>
    <col customWidth="1" min="24" max="24" width="6.5"/>
    <col customWidth="1" min="25" max="25" width="19.5"/>
    <col customWidth="1" min="26" max="26" width="5.25"/>
    <col customWidth="1" min="27" max="27" width="6.25"/>
    <col customWidth="1" min="28" max="28" width="7.75"/>
  </cols>
  <sheetData>
    <row r="1" ht="14.25" customHeight="1">
      <c r="A1" s="1"/>
      <c r="B1" s="2"/>
      <c r="C1" s="2"/>
      <c r="D1" s="3" t="s">
        <v>0</v>
      </c>
      <c r="E1" s="2"/>
      <c r="F1" s="2"/>
      <c r="G1" s="4" t="s">
        <v>1</v>
      </c>
      <c r="H1" s="2"/>
      <c r="I1" s="2"/>
      <c r="J1" s="4" t="s">
        <v>1</v>
      </c>
      <c r="K1" s="5"/>
      <c r="L1" s="5"/>
      <c r="M1" s="4" t="s">
        <v>1</v>
      </c>
      <c r="N1" s="2"/>
      <c r="O1" s="2"/>
      <c r="P1" s="6" t="s">
        <v>2</v>
      </c>
      <c r="Q1" s="2"/>
      <c r="R1" s="3"/>
      <c r="S1" s="3" t="s">
        <v>3</v>
      </c>
      <c r="T1" s="2"/>
      <c r="U1" s="2"/>
      <c r="V1" s="3" t="s">
        <v>4</v>
      </c>
      <c r="W1" s="2"/>
    </row>
    <row r="2" ht="14.25" customHeight="1">
      <c r="A2" s="2"/>
      <c r="B2" s="2"/>
      <c r="C2" s="2"/>
      <c r="D2" s="2"/>
      <c r="E2" s="7" t="s">
        <v>5</v>
      </c>
      <c r="F2" s="7"/>
      <c r="G2" s="7" t="s">
        <v>6</v>
      </c>
      <c r="H2" s="7" t="s">
        <v>7</v>
      </c>
      <c r="I2" s="7"/>
      <c r="J2" s="7" t="s">
        <v>8</v>
      </c>
      <c r="K2" s="8"/>
      <c r="L2" s="7" t="s">
        <v>9</v>
      </c>
      <c r="M2" s="7" t="s">
        <v>9</v>
      </c>
      <c r="N2" s="8"/>
      <c r="O2" s="7" t="s">
        <v>10</v>
      </c>
      <c r="P2" s="7" t="s">
        <v>11</v>
      </c>
      <c r="Q2" s="9" t="s">
        <v>12</v>
      </c>
      <c r="R2" s="10" t="s">
        <v>13</v>
      </c>
      <c r="S2" s="11" t="s">
        <v>14</v>
      </c>
      <c r="T2" s="10" t="s">
        <v>5</v>
      </c>
      <c r="U2" s="10" t="s">
        <v>10</v>
      </c>
      <c r="V2" s="12" t="s">
        <v>15</v>
      </c>
      <c r="W2" s="8" t="s">
        <v>16</v>
      </c>
      <c r="X2" s="10" t="s">
        <v>5</v>
      </c>
      <c r="Z2" s="13" t="s">
        <v>14</v>
      </c>
      <c r="AA2" s="13" t="s">
        <v>17</v>
      </c>
      <c r="AB2" s="13" t="s">
        <v>18</v>
      </c>
    </row>
    <row r="3" ht="18.75" customHeight="1">
      <c r="A3" s="8" t="s">
        <v>19</v>
      </c>
      <c r="B3" s="14" t="s">
        <v>20</v>
      </c>
      <c r="C3" s="15"/>
      <c r="D3" s="7" t="s">
        <v>21</v>
      </c>
      <c r="E3" s="8" t="s">
        <v>22</v>
      </c>
      <c r="F3" s="8" t="s">
        <v>23</v>
      </c>
      <c r="G3" s="16" t="s">
        <v>24</v>
      </c>
      <c r="H3" s="8" t="s">
        <v>22</v>
      </c>
      <c r="I3" s="8" t="s">
        <v>23</v>
      </c>
      <c r="J3" s="16" t="s">
        <v>24</v>
      </c>
      <c r="K3" s="17" t="s">
        <v>22</v>
      </c>
      <c r="L3" s="18" t="s">
        <v>23</v>
      </c>
      <c r="M3" s="17" t="s">
        <v>24</v>
      </c>
      <c r="N3" s="17" t="s">
        <v>22</v>
      </c>
      <c r="O3" s="18" t="s">
        <v>23</v>
      </c>
      <c r="P3" s="17" t="s">
        <v>24</v>
      </c>
      <c r="Q3" s="19">
        <v>1.0</v>
      </c>
      <c r="R3" s="20">
        <v>9.0</v>
      </c>
      <c r="S3" s="20">
        <v>10.0</v>
      </c>
      <c r="T3" s="19">
        <f t="shared" ref="T3:T10" si="2">SUMIF(F$4:F$198,$Q3,E$4:E$198)</f>
        <v>8</v>
      </c>
      <c r="U3" s="19">
        <f t="shared" ref="U3:U6" si="3">SUMIF(O$4:O$139,$Q3,N$4:N$139)</f>
        <v>15</v>
      </c>
      <c r="V3" s="21">
        <f>B69</f>
        <v>46335</v>
      </c>
      <c r="W3" s="21">
        <f>B80</f>
        <v>46346</v>
      </c>
      <c r="X3" s="22">
        <f t="shared" ref="X3:X10" si="4">T3/$S3</f>
        <v>0.8</v>
      </c>
      <c r="Y3" s="23" t="s">
        <v>25</v>
      </c>
      <c r="Z3" s="24">
        <f t="shared" ref="Z3:AA3" si="1">S3+S9</f>
        <v>18</v>
      </c>
      <c r="AA3" s="25">
        <f t="shared" si="1"/>
        <v>16</v>
      </c>
      <c r="AB3" s="26">
        <f t="shared" ref="AB3:AB10" si="6">T3/$S$7</f>
        <v>0.8</v>
      </c>
      <c r="AC3" s="20">
        <v>9.0</v>
      </c>
    </row>
    <row r="4">
      <c r="A4" s="27"/>
      <c r="B4" s="28"/>
      <c r="C4" s="29"/>
      <c r="D4" s="30"/>
      <c r="E4" s="31"/>
      <c r="F4" s="31"/>
      <c r="G4" s="32"/>
      <c r="H4" s="31"/>
      <c r="I4" s="31"/>
      <c r="J4" s="32"/>
      <c r="K4" s="31"/>
      <c r="L4" s="31"/>
      <c r="M4" s="31"/>
      <c r="N4" s="31"/>
      <c r="O4" s="31"/>
      <c r="P4" s="31"/>
      <c r="Q4" s="33">
        <v>2.0</v>
      </c>
      <c r="R4" s="34">
        <v>8.0</v>
      </c>
      <c r="S4" s="34">
        <v>15.0</v>
      </c>
      <c r="T4" s="33">
        <f t="shared" si="2"/>
        <v>12</v>
      </c>
      <c r="U4" s="33">
        <f t="shared" si="3"/>
        <v>18</v>
      </c>
      <c r="V4" s="35">
        <f>B15</f>
        <v>46281</v>
      </c>
      <c r="W4" s="35">
        <f>B38</f>
        <v>46304</v>
      </c>
      <c r="X4" s="22">
        <f t="shared" si="4"/>
        <v>0.8</v>
      </c>
      <c r="Y4" s="36" t="s">
        <v>26</v>
      </c>
      <c r="Z4" s="34">
        <f t="shared" ref="Z4:AA4" si="5">S4+S6</f>
        <v>30</v>
      </c>
      <c r="AA4" s="37">
        <f t="shared" si="5"/>
        <v>26</v>
      </c>
      <c r="AB4" s="26">
        <f t="shared" si="6"/>
        <v>1.2</v>
      </c>
      <c r="AC4" s="34">
        <v>9.0</v>
      </c>
    </row>
    <row r="5">
      <c r="A5" s="27"/>
      <c r="B5" s="28"/>
      <c r="C5" s="29"/>
      <c r="D5" s="38"/>
      <c r="E5" s="32"/>
      <c r="F5" s="31"/>
      <c r="G5" s="32"/>
      <c r="H5" s="32"/>
      <c r="I5" s="31"/>
      <c r="J5" s="32"/>
      <c r="K5" s="32"/>
      <c r="L5" s="31"/>
      <c r="M5" s="32"/>
      <c r="N5" s="32"/>
      <c r="O5" s="31"/>
      <c r="P5" s="32"/>
      <c r="Q5" s="39">
        <v>3.0</v>
      </c>
      <c r="R5" s="40">
        <v>7.0</v>
      </c>
      <c r="S5" s="40">
        <v>10.0</v>
      </c>
      <c r="T5" s="39">
        <f t="shared" si="2"/>
        <v>8</v>
      </c>
      <c r="U5" s="39">
        <f t="shared" si="3"/>
        <v>13</v>
      </c>
      <c r="V5" s="41">
        <f>B129</f>
        <v>46395</v>
      </c>
      <c r="W5" s="41">
        <f>B143</f>
        <v>46409</v>
      </c>
      <c r="X5" s="22">
        <f t="shared" si="4"/>
        <v>0.8</v>
      </c>
      <c r="Y5" s="42" t="s">
        <v>27</v>
      </c>
      <c r="Z5" s="40">
        <f t="shared" ref="Z5:AA5" si="7">S5+S7</f>
        <v>20</v>
      </c>
      <c r="AA5" s="43">
        <f t="shared" si="7"/>
        <v>16</v>
      </c>
      <c r="AB5" s="26">
        <f t="shared" si="6"/>
        <v>0.8</v>
      </c>
      <c r="AC5" s="40">
        <v>7.0</v>
      </c>
    </row>
    <row r="6" ht="19.5" customHeight="1">
      <c r="A6" s="44">
        <v>0.0</v>
      </c>
      <c r="B6" s="45">
        <v>46272.0</v>
      </c>
      <c r="C6" s="46">
        <f t="shared" ref="C6:C26" si="8">B6</f>
        <v>46272</v>
      </c>
      <c r="D6" s="38"/>
      <c r="E6" s="32"/>
      <c r="F6" s="31"/>
      <c r="G6" s="32"/>
      <c r="H6" s="32"/>
      <c r="I6" s="31"/>
      <c r="J6" s="32"/>
      <c r="K6" s="38"/>
      <c r="L6" s="32"/>
      <c r="M6" s="31"/>
      <c r="N6" s="32"/>
      <c r="O6" s="32"/>
      <c r="P6" s="47"/>
      <c r="Q6" s="48">
        <v>4.0</v>
      </c>
      <c r="R6" s="49">
        <v>8.0</v>
      </c>
      <c r="S6" s="49">
        <v>15.0</v>
      </c>
      <c r="T6" s="48">
        <f t="shared" si="2"/>
        <v>14</v>
      </c>
      <c r="U6" s="48">
        <f t="shared" si="3"/>
        <v>16</v>
      </c>
      <c r="V6" s="50">
        <f>B42</f>
        <v>46308</v>
      </c>
      <c r="W6" s="50">
        <f>B66</f>
        <v>46332</v>
      </c>
      <c r="X6" s="22">
        <f t="shared" si="4"/>
        <v>0.9333333333</v>
      </c>
      <c r="Y6" s="36" t="s">
        <v>26</v>
      </c>
      <c r="AB6" s="26">
        <f t="shared" si="6"/>
        <v>1.4</v>
      </c>
      <c r="AC6" s="49">
        <v>7.0</v>
      </c>
    </row>
    <row r="7" ht="18.0" customHeight="1">
      <c r="A7" s="44">
        <v>0.0</v>
      </c>
      <c r="B7" s="45">
        <f t="shared" ref="B7:B12" si="9">B6+1</f>
        <v>46273</v>
      </c>
      <c r="C7" s="46">
        <f t="shared" si="8"/>
        <v>46273</v>
      </c>
      <c r="D7" s="51"/>
      <c r="E7" s="51"/>
      <c r="F7" s="52">
        <v>0.0</v>
      </c>
      <c r="G7" s="51"/>
      <c r="H7" s="51"/>
      <c r="I7" s="52">
        <v>0.0</v>
      </c>
      <c r="J7" s="51"/>
      <c r="K7" s="51"/>
      <c r="L7" s="52">
        <v>0.0</v>
      </c>
      <c r="M7" s="32"/>
      <c r="N7" s="30"/>
      <c r="O7" s="52">
        <v>0.0</v>
      </c>
      <c r="P7" s="32"/>
      <c r="Q7" s="53">
        <v>5.0</v>
      </c>
      <c r="R7" s="54">
        <v>7.0</v>
      </c>
      <c r="S7" s="54">
        <v>10.0</v>
      </c>
      <c r="T7" s="54">
        <f t="shared" si="2"/>
        <v>8</v>
      </c>
      <c r="U7" s="54"/>
      <c r="V7" s="55">
        <f>B146</f>
        <v>46412</v>
      </c>
      <c r="W7" s="56">
        <f>B157</f>
        <v>46423</v>
      </c>
      <c r="X7" s="22">
        <f t="shared" si="4"/>
        <v>0.8</v>
      </c>
      <c r="Y7" s="42" t="s">
        <v>27</v>
      </c>
      <c r="AB7" s="26">
        <f t="shared" si="6"/>
        <v>0.8</v>
      </c>
      <c r="AC7" s="54">
        <v>7.0</v>
      </c>
    </row>
    <row r="8">
      <c r="A8" s="44">
        <v>0.0</v>
      </c>
      <c r="B8" s="45">
        <f t="shared" si="9"/>
        <v>46274</v>
      </c>
      <c r="C8" s="46">
        <f t="shared" si="8"/>
        <v>46274</v>
      </c>
      <c r="D8" s="51"/>
      <c r="E8" s="51"/>
      <c r="F8" s="52">
        <v>0.0</v>
      </c>
      <c r="G8" s="51"/>
      <c r="H8" s="51"/>
      <c r="I8" s="52">
        <v>0.0</v>
      </c>
      <c r="J8" s="51"/>
      <c r="K8" s="51"/>
      <c r="L8" s="52">
        <v>0.0</v>
      </c>
      <c r="M8" s="32"/>
      <c r="N8" s="51">
        <v>2.0</v>
      </c>
      <c r="O8" s="52">
        <v>0.0</v>
      </c>
      <c r="P8" s="32"/>
      <c r="Q8" s="57">
        <v>6.0</v>
      </c>
      <c r="R8" s="58">
        <v>11.0</v>
      </c>
      <c r="S8" s="58">
        <v>20.0</v>
      </c>
      <c r="T8" s="58">
        <f t="shared" si="2"/>
        <v>14</v>
      </c>
      <c r="U8" s="58"/>
      <c r="V8" s="59">
        <f>B160</f>
        <v>46426</v>
      </c>
      <c r="W8" s="60">
        <f>B184</f>
        <v>46450</v>
      </c>
      <c r="X8" s="22">
        <f t="shared" si="4"/>
        <v>0.7</v>
      </c>
      <c r="Y8" s="61" t="s">
        <v>28</v>
      </c>
      <c r="Z8" s="62">
        <f t="shared" ref="Z8:AA8" si="10">S8</f>
        <v>20</v>
      </c>
      <c r="AA8" s="63">
        <f t="shared" si="10"/>
        <v>14</v>
      </c>
      <c r="AB8" s="26">
        <f t="shared" si="6"/>
        <v>1.4</v>
      </c>
      <c r="AC8" s="58">
        <v>11.0</v>
      </c>
    </row>
    <row r="9">
      <c r="A9" s="44">
        <v>0.0</v>
      </c>
      <c r="B9" s="45">
        <f t="shared" si="9"/>
        <v>46275</v>
      </c>
      <c r="C9" s="46">
        <f t="shared" si="8"/>
        <v>46275</v>
      </c>
      <c r="D9" s="51"/>
      <c r="E9" s="51"/>
      <c r="F9" s="52">
        <v>0.0</v>
      </c>
      <c r="G9" s="51"/>
      <c r="H9" s="51"/>
      <c r="I9" s="52">
        <v>0.0</v>
      </c>
      <c r="J9" s="51"/>
      <c r="K9" s="32"/>
      <c r="L9" s="52">
        <v>0.0</v>
      </c>
      <c r="M9" s="32"/>
      <c r="N9" s="51">
        <v>2.0</v>
      </c>
      <c r="O9" s="52">
        <v>0.0</v>
      </c>
      <c r="P9" s="51"/>
      <c r="Q9" s="64">
        <v>7.0</v>
      </c>
      <c r="R9" s="65">
        <v>5.0</v>
      </c>
      <c r="S9" s="65">
        <v>8.0</v>
      </c>
      <c r="T9" s="65">
        <f t="shared" si="2"/>
        <v>8</v>
      </c>
      <c r="U9" s="65"/>
      <c r="V9" s="66">
        <f>B83</f>
        <v>46349</v>
      </c>
      <c r="W9" s="67">
        <f>B93</f>
        <v>46359</v>
      </c>
      <c r="X9" s="22">
        <f t="shared" si="4"/>
        <v>1</v>
      </c>
      <c r="Y9" s="23" t="s">
        <v>25</v>
      </c>
      <c r="AB9" s="26">
        <f t="shared" si="6"/>
        <v>0.8</v>
      </c>
      <c r="AC9" s="65">
        <v>5.0</v>
      </c>
    </row>
    <row r="10" ht="18.75" customHeight="1">
      <c r="A10" s="44">
        <v>0.0</v>
      </c>
      <c r="B10" s="45">
        <f t="shared" si="9"/>
        <v>46276</v>
      </c>
      <c r="C10" s="46">
        <f t="shared" si="8"/>
        <v>46276</v>
      </c>
      <c r="D10" s="51"/>
      <c r="E10" s="51"/>
      <c r="F10" s="52">
        <v>0.0</v>
      </c>
      <c r="G10" s="51"/>
      <c r="H10" s="51"/>
      <c r="I10" s="52">
        <v>0.0</v>
      </c>
      <c r="J10" s="51"/>
      <c r="K10" s="51"/>
      <c r="L10" s="52">
        <v>0.0</v>
      </c>
      <c r="M10" s="68"/>
      <c r="N10" s="32"/>
      <c r="O10" s="52">
        <v>0.0</v>
      </c>
      <c r="P10" s="32"/>
      <c r="Q10" s="69" t="s">
        <v>29</v>
      </c>
      <c r="R10" s="70">
        <v>33.0</v>
      </c>
      <c r="S10" s="70">
        <v>8.0</v>
      </c>
      <c r="T10" s="70">
        <f t="shared" si="2"/>
        <v>6</v>
      </c>
      <c r="U10" s="70"/>
      <c r="V10" s="71">
        <f>B100</f>
        <v>46366</v>
      </c>
      <c r="W10" s="72">
        <f>B108</f>
        <v>46374</v>
      </c>
      <c r="X10" s="22">
        <f t="shared" si="4"/>
        <v>0.75</v>
      </c>
      <c r="Y10" s="73" t="s">
        <v>30</v>
      </c>
      <c r="Z10" s="74">
        <f t="shared" ref="Z10:AA10" si="11">S10</f>
        <v>8</v>
      </c>
      <c r="AA10" s="75">
        <f t="shared" si="11"/>
        <v>6</v>
      </c>
      <c r="AB10" s="26">
        <f t="shared" si="6"/>
        <v>0.6</v>
      </c>
      <c r="AC10" s="70">
        <v>15.0</v>
      </c>
    </row>
    <row r="11" ht="20.25" customHeight="1">
      <c r="A11" s="76">
        <f t="shared" ref="A11:A12" si="13">A7</f>
        <v>0</v>
      </c>
      <c r="B11" s="77">
        <f t="shared" si="9"/>
        <v>46277</v>
      </c>
      <c r="C11" s="78">
        <f t="shared" si="8"/>
        <v>46277</v>
      </c>
      <c r="D11" s="79"/>
      <c r="E11" s="32"/>
      <c r="F11" s="52">
        <v>0.0</v>
      </c>
      <c r="G11" s="38"/>
      <c r="H11" s="32"/>
      <c r="I11" s="52">
        <v>0.0</v>
      </c>
      <c r="J11" s="38"/>
      <c r="K11" s="32"/>
      <c r="L11" s="32"/>
      <c r="M11" s="32"/>
      <c r="N11" s="32"/>
      <c r="O11" s="32"/>
      <c r="P11" s="32"/>
      <c r="Q11" s="80" t="s">
        <v>31</v>
      </c>
      <c r="R11" s="81">
        <f>sum(R3:R9)</f>
        <v>55</v>
      </c>
      <c r="S11" s="81">
        <f t="shared" ref="S11:T11" si="12">SUM(S3:S9)</f>
        <v>88</v>
      </c>
      <c r="T11" s="81">
        <f t="shared" si="12"/>
        <v>72</v>
      </c>
      <c r="AC11" s="81">
        <f>SUM(AC3:AC9)</f>
        <v>55</v>
      </c>
    </row>
    <row r="12">
      <c r="A12" s="76">
        <f t="shared" si="13"/>
        <v>0</v>
      </c>
      <c r="B12" s="77">
        <f t="shared" si="9"/>
        <v>46278</v>
      </c>
      <c r="C12" s="78">
        <f t="shared" si="8"/>
        <v>46278</v>
      </c>
      <c r="D12" s="79"/>
      <c r="E12" s="32"/>
      <c r="F12" s="52">
        <v>0.0</v>
      </c>
      <c r="G12" s="38"/>
      <c r="H12" s="32"/>
      <c r="I12" s="52">
        <v>0.0</v>
      </c>
      <c r="J12" s="38"/>
      <c r="K12" s="32"/>
      <c r="L12" s="32"/>
      <c r="M12" s="32"/>
      <c r="N12" s="32"/>
      <c r="O12" s="32"/>
      <c r="P12" s="32"/>
      <c r="Q12" s="80" t="s">
        <v>32</v>
      </c>
      <c r="R12" s="1">
        <f>sum(R3:R10)</f>
        <v>88</v>
      </c>
      <c r="S12" s="1">
        <f t="shared" ref="S12:T12" si="14">SUM(S3:S10)</f>
        <v>96</v>
      </c>
      <c r="T12" s="1">
        <f t="shared" si="14"/>
        <v>78</v>
      </c>
      <c r="U12" s="82"/>
      <c r="V12" s="83"/>
      <c r="W12" s="83"/>
    </row>
    <row r="13" ht="66.0" customHeight="1">
      <c r="A13" s="44">
        <f t="shared" ref="A13:B13" si="15">A12+1</f>
        <v>1</v>
      </c>
      <c r="B13" s="45">
        <f t="shared" si="15"/>
        <v>46279</v>
      </c>
      <c r="C13" s="46">
        <f t="shared" si="8"/>
        <v>46279</v>
      </c>
      <c r="D13" s="84" t="s">
        <v>33</v>
      </c>
      <c r="E13" s="30">
        <v>0.0</v>
      </c>
      <c r="F13" s="52">
        <v>0.0</v>
      </c>
      <c r="G13" s="30"/>
      <c r="H13" s="30">
        <v>0.0</v>
      </c>
      <c r="I13" s="52">
        <v>0.0</v>
      </c>
      <c r="J13" s="30"/>
      <c r="K13" s="85"/>
      <c r="L13" s="31"/>
      <c r="M13" s="32"/>
      <c r="N13" s="51">
        <v>1.0</v>
      </c>
      <c r="O13" s="52">
        <v>0.0</v>
      </c>
      <c r="P13" s="51"/>
      <c r="Q13" s="80" t="s">
        <v>29</v>
      </c>
      <c r="R13" s="1"/>
      <c r="S13" s="1">
        <f>S10</f>
        <v>8</v>
      </c>
      <c r="T13" s="1"/>
      <c r="U13" s="1"/>
      <c r="V13" s="1"/>
      <c r="W13" s="1"/>
    </row>
    <row r="14">
      <c r="A14" s="44">
        <f t="shared" ref="A14:A19" si="16">A13</f>
        <v>1</v>
      </c>
      <c r="B14" s="45">
        <f t="shared" ref="B14:B19" si="17">B13+1</f>
        <v>46280</v>
      </c>
      <c r="C14" s="86">
        <f t="shared" si="8"/>
        <v>46280</v>
      </c>
      <c r="D14" s="79"/>
      <c r="E14" s="30">
        <v>0.0</v>
      </c>
      <c r="F14" s="52">
        <v>0.0</v>
      </c>
      <c r="G14" s="38"/>
      <c r="H14" s="30">
        <v>0.0</v>
      </c>
      <c r="I14" s="52">
        <v>0.0</v>
      </c>
      <c r="J14" s="38"/>
      <c r="K14" s="51"/>
      <c r="L14" s="52">
        <v>0.0</v>
      </c>
      <c r="M14" s="51"/>
      <c r="N14" s="30"/>
      <c r="O14" s="30"/>
      <c r="P14" s="32"/>
      <c r="Q14" s="1"/>
      <c r="R14" s="1"/>
      <c r="S14" s="1"/>
      <c r="T14" s="1"/>
      <c r="U14" s="1"/>
      <c r="V14" s="83"/>
      <c r="W14" s="83"/>
    </row>
    <row r="15" ht="14.25" customHeight="1">
      <c r="A15" s="44">
        <f t="shared" si="16"/>
        <v>1</v>
      </c>
      <c r="B15" s="45">
        <f t="shared" si="17"/>
        <v>46281</v>
      </c>
      <c r="C15" s="46">
        <f t="shared" si="8"/>
        <v>46281</v>
      </c>
      <c r="D15" s="84"/>
      <c r="E15" s="30"/>
      <c r="F15" s="33">
        <v>2.0</v>
      </c>
      <c r="G15" s="38"/>
      <c r="H15" s="30"/>
      <c r="I15" s="33">
        <v>2.0</v>
      </c>
      <c r="J15" s="38"/>
      <c r="K15" s="51"/>
      <c r="L15" s="52">
        <v>0.0</v>
      </c>
      <c r="M15" s="51"/>
      <c r="N15" s="51">
        <v>2.0</v>
      </c>
      <c r="O15" s="52">
        <v>0.0</v>
      </c>
      <c r="P15" s="51"/>
      <c r="Q15" s="1"/>
      <c r="R15" s="1"/>
      <c r="S15" s="1"/>
      <c r="T15" s="1"/>
      <c r="U15" s="1"/>
    </row>
    <row r="16" ht="97.5" customHeight="1">
      <c r="A16" s="44">
        <f t="shared" si="16"/>
        <v>1</v>
      </c>
      <c r="B16" s="45">
        <f t="shared" si="17"/>
        <v>46282</v>
      </c>
      <c r="C16" s="86">
        <f t="shared" si="8"/>
        <v>46282</v>
      </c>
      <c r="D16" s="84" t="s">
        <v>34</v>
      </c>
      <c r="E16" s="30">
        <v>2.0</v>
      </c>
      <c r="F16" s="33">
        <v>2.0</v>
      </c>
      <c r="G16" s="84" t="s">
        <v>35</v>
      </c>
      <c r="H16" s="30">
        <v>2.0</v>
      </c>
      <c r="I16" s="33">
        <v>2.0</v>
      </c>
      <c r="J16" s="84" t="s">
        <v>36</v>
      </c>
      <c r="K16" s="32"/>
      <c r="L16" s="87">
        <v>1.0</v>
      </c>
      <c r="M16" s="32"/>
      <c r="N16" s="51">
        <v>2.0</v>
      </c>
      <c r="O16" s="87">
        <v>1.0</v>
      </c>
      <c r="P16" s="51"/>
      <c r="Q16" s="1"/>
      <c r="R16" s="1"/>
      <c r="S16" s="1"/>
      <c r="T16" s="1"/>
      <c r="U16" s="1"/>
    </row>
    <row r="17" ht="26.25" customHeight="1">
      <c r="A17" s="44">
        <f t="shared" si="16"/>
        <v>1</v>
      </c>
      <c r="B17" s="45">
        <f t="shared" si="17"/>
        <v>46283</v>
      </c>
      <c r="C17" s="46">
        <f t="shared" si="8"/>
        <v>46283</v>
      </c>
      <c r="D17" s="84"/>
      <c r="E17" s="30"/>
      <c r="F17" s="33">
        <v>2.0</v>
      </c>
      <c r="G17" s="30"/>
      <c r="H17" s="30"/>
      <c r="I17" s="33">
        <v>2.0</v>
      </c>
      <c r="J17" s="30"/>
      <c r="K17" s="51"/>
      <c r="L17" s="87">
        <v>1.0</v>
      </c>
      <c r="M17" s="51"/>
      <c r="N17" s="32"/>
      <c r="O17" s="87">
        <v>1.0</v>
      </c>
      <c r="P17" s="32"/>
      <c r="Q17" s="1"/>
      <c r="R17" s="1"/>
      <c r="S17" s="1"/>
      <c r="T17" s="80"/>
      <c r="U17" s="1"/>
      <c r="W17" s="83"/>
      <c r="X17" s="83"/>
    </row>
    <row r="18">
      <c r="A18" s="76">
        <f t="shared" si="16"/>
        <v>1</v>
      </c>
      <c r="B18" s="77">
        <f t="shared" si="17"/>
        <v>46284</v>
      </c>
      <c r="C18" s="78">
        <f t="shared" si="8"/>
        <v>46284</v>
      </c>
      <c r="D18" s="79"/>
      <c r="E18" s="32"/>
      <c r="F18" s="33">
        <v>2.0</v>
      </c>
      <c r="G18" s="38"/>
      <c r="H18" s="32"/>
      <c r="I18" s="33">
        <v>2.0</v>
      </c>
      <c r="J18" s="38"/>
      <c r="K18" s="32"/>
      <c r="L18" s="32"/>
      <c r="M18" s="32"/>
      <c r="N18" s="32"/>
      <c r="O18" s="32"/>
      <c r="P18" s="32"/>
      <c r="Q18" s="1"/>
      <c r="R18" s="1"/>
      <c r="S18" s="1"/>
      <c r="T18" s="80"/>
      <c r="U18" s="1"/>
      <c r="V18" s="1"/>
      <c r="W18" s="88"/>
      <c r="X18" s="83"/>
    </row>
    <row r="19">
      <c r="A19" s="76">
        <f t="shared" si="16"/>
        <v>1</v>
      </c>
      <c r="B19" s="77">
        <f t="shared" si="17"/>
        <v>46285</v>
      </c>
      <c r="C19" s="78">
        <f t="shared" si="8"/>
        <v>46285</v>
      </c>
      <c r="D19" s="79"/>
      <c r="E19" s="32"/>
      <c r="F19" s="33">
        <v>2.0</v>
      </c>
      <c r="G19" s="38"/>
      <c r="H19" s="32"/>
      <c r="I19" s="33">
        <v>2.0</v>
      </c>
      <c r="J19" s="38"/>
      <c r="K19" s="32"/>
      <c r="L19" s="32"/>
      <c r="M19" s="32"/>
      <c r="N19" s="32"/>
      <c r="O19" s="32"/>
      <c r="P19" s="32"/>
      <c r="Q19" s="1"/>
      <c r="R19" s="1"/>
      <c r="S19" s="1"/>
      <c r="T19" s="80"/>
      <c r="U19" s="1"/>
      <c r="V19" s="1"/>
      <c r="W19" s="88"/>
      <c r="X19" s="83"/>
    </row>
    <row r="20">
      <c r="A20" s="44">
        <f t="shared" ref="A20:B20" si="18">A19+1</f>
        <v>2</v>
      </c>
      <c r="B20" s="45">
        <f t="shared" si="18"/>
        <v>46286</v>
      </c>
      <c r="C20" s="46">
        <f t="shared" si="8"/>
        <v>46286</v>
      </c>
      <c r="D20" s="89" t="s">
        <v>37</v>
      </c>
      <c r="E20" s="51">
        <v>1.0</v>
      </c>
      <c r="F20" s="33">
        <v>2.0</v>
      </c>
      <c r="G20" s="51" t="s">
        <v>38</v>
      </c>
      <c r="H20" s="51">
        <v>1.0</v>
      </c>
      <c r="I20" s="33">
        <v>2.0</v>
      </c>
      <c r="J20" s="51"/>
      <c r="K20" s="85"/>
      <c r="L20" s="32"/>
      <c r="M20" s="32"/>
      <c r="N20" s="51">
        <v>1.0</v>
      </c>
      <c r="O20" s="87">
        <v>1.0</v>
      </c>
      <c r="P20" s="51"/>
      <c r="Q20" s="1"/>
      <c r="R20" s="1"/>
      <c r="S20" s="1"/>
      <c r="T20" s="80"/>
      <c r="U20" s="1"/>
      <c r="V20" s="1"/>
      <c r="W20" s="88"/>
      <c r="X20" s="83"/>
    </row>
    <row r="21">
      <c r="A21" s="90">
        <f t="shared" ref="A21:A26" si="19">A20</f>
        <v>2</v>
      </c>
      <c r="B21" s="45">
        <f t="shared" ref="B21:B26" si="20">B20+1</f>
        <v>46287</v>
      </c>
      <c r="C21" s="86">
        <f t="shared" si="8"/>
        <v>46287</v>
      </c>
      <c r="D21" s="91" t="s">
        <v>39</v>
      </c>
      <c r="E21" s="51">
        <v>1.0</v>
      </c>
      <c r="F21" s="33">
        <v>2.0</v>
      </c>
      <c r="G21" s="51" t="s">
        <v>40</v>
      </c>
      <c r="H21" s="51">
        <v>1.0</v>
      </c>
      <c r="I21" s="33">
        <v>2.0</v>
      </c>
      <c r="J21" s="92"/>
      <c r="K21" s="51"/>
      <c r="L21" s="87">
        <v>1.0</v>
      </c>
      <c r="M21" s="51"/>
      <c r="N21" s="32"/>
      <c r="O21" s="87">
        <v>1.0</v>
      </c>
      <c r="P21" s="32"/>
      <c r="Q21" s="1"/>
      <c r="R21" s="80"/>
      <c r="S21" s="80"/>
      <c r="T21" s="80"/>
      <c r="U21" s="80"/>
      <c r="V21" s="80"/>
      <c r="W21" s="93"/>
      <c r="X21" s="83"/>
    </row>
    <row r="22">
      <c r="A22" s="90">
        <f t="shared" si="19"/>
        <v>2</v>
      </c>
      <c r="B22" s="45">
        <f t="shared" si="20"/>
        <v>46288</v>
      </c>
      <c r="C22" s="46">
        <f t="shared" si="8"/>
        <v>46288</v>
      </c>
      <c r="D22" s="94"/>
      <c r="E22" s="51"/>
      <c r="F22" s="33">
        <v>2.0</v>
      </c>
      <c r="H22" s="51"/>
      <c r="I22" s="33">
        <v>2.0</v>
      </c>
      <c r="K22" s="51"/>
      <c r="L22" s="87">
        <v>1.0</v>
      </c>
      <c r="M22" s="51"/>
      <c r="N22" s="51">
        <v>2.0</v>
      </c>
      <c r="O22" s="87">
        <v>1.0</v>
      </c>
      <c r="P22" s="51"/>
      <c r="Q22" s="1"/>
      <c r="R22" s="80"/>
      <c r="S22" s="80"/>
      <c r="T22" s="80"/>
      <c r="U22" s="80"/>
      <c r="V22" s="80"/>
      <c r="W22" s="93"/>
      <c r="X22" s="83"/>
    </row>
    <row r="23">
      <c r="A23" s="90">
        <f t="shared" si="19"/>
        <v>2</v>
      </c>
      <c r="B23" s="45">
        <f t="shared" si="20"/>
        <v>46289</v>
      </c>
      <c r="C23" s="86">
        <f t="shared" si="8"/>
        <v>46289</v>
      </c>
      <c r="D23" s="13" t="s">
        <v>41</v>
      </c>
      <c r="E23" s="51">
        <v>2.0</v>
      </c>
      <c r="F23" s="33">
        <v>2.0</v>
      </c>
      <c r="G23" s="51" t="s">
        <v>42</v>
      </c>
      <c r="H23" s="51">
        <v>2.0</v>
      </c>
      <c r="I23" s="33">
        <v>2.0</v>
      </c>
      <c r="J23" s="51"/>
      <c r="K23" s="32"/>
      <c r="L23" s="87">
        <v>1.0</v>
      </c>
      <c r="M23" s="32"/>
      <c r="N23" s="51">
        <v>2.0</v>
      </c>
      <c r="O23" s="87">
        <v>1.0</v>
      </c>
      <c r="P23" s="51"/>
      <c r="Q23" s="1"/>
      <c r="R23" s="80"/>
      <c r="S23" s="80"/>
      <c r="T23" s="80"/>
      <c r="U23" s="80"/>
      <c r="V23" s="80"/>
      <c r="W23" s="93"/>
      <c r="X23" s="83"/>
    </row>
    <row r="24" ht="49.5" customHeight="1">
      <c r="A24" s="90">
        <f t="shared" si="19"/>
        <v>2</v>
      </c>
      <c r="B24" s="45">
        <f t="shared" si="20"/>
        <v>46290</v>
      </c>
      <c r="C24" s="46">
        <f t="shared" si="8"/>
        <v>46290</v>
      </c>
      <c r="D24" s="89"/>
      <c r="E24" s="51"/>
      <c r="F24" s="33">
        <v>2.0</v>
      </c>
      <c r="G24" s="51"/>
      <c r="H24" s="51"/>
      <c r="I24" s="33">
        <v>2.0</v>
      </c>
      <c r="J24" s="51"/>
      <c r="K24" s="51"/>
      <c r="L24" s="87">
        <v>1.0</v>
      </c>
      <c r="M24" s="68"/>
      <c r="N24" s="51"/>
      <c r="O24" s="87">
        <v>1.0</v>
      </c>
      <c r="P24" s="32"/>
      <c r="Q24" s="1"/>
      <c r="R24" s="80"/>
      <c r="S24" s="80"/>
      <c r="T24" s="80"/>
      <c r="U24" s="80"/>
      <c r="V24" s="80"/>
      <c r="W24" s="93"/>
      <c r="X24" s="83"/>
    </row>
    <row r="25">
      <c r="A25" s="95">
        <f t="shared" si="19"/>
        <v>2</v>
      </c>
      <c r="B25" s="77">
        <f t="shared" si="20"/>
        <v>46291</v>
      </c>
      <c r="C25" s="78">
        <f t="shared" si="8"/>
        <v>46291</v>
      </c>
      <c r="D25" s="38"/>
      <c r="E25" s="38"/>
      <c r="F25" s="33">
        <v>2.0</v>
      </c>
      <c r="G25" s="38"/>
      <c r="H25" s="38"/>
      <c r="I25" s="33">
        <v>2.0</v>
      </c>
      <c r="J25" s="38"/>
      <c r="K25" s="32"/>
      <c r="L25" s="32"/>
      <c r="M25" s="32"/>
      <c r="N25" s="32"/>
      <c r="O25" s="32"/>
      <c r="P25" s="32"/>
      <c r="Q25" s="1"/>
      <c r="R25" s="1"/>
      <c r="S25" s="1"/>
      <c r="T25" s="1"/>
      <c r="U25" s="1"/>
      <c r="V25" s="1"/>
      <c r="W25" s="1"/>
    </row>
    <row r="26">
      <c r="A26" s="76">
        <f t="shared" si="19"/>
        <v>2</v>
      </c>
      <c r="B26" s="77">
        <f t="shared" si="20"/>
        <v>46292</v>
      </c>
      <c r="C26" s="78">
        <f t="shared" si="8"/>
        <v>46292</v>
      </c>
      <c r="D26" s="38"/>
      <c r="E26" s="38"/>
      <c r="F26" s="33">
        <v>2.0</v>
      </c>
      <c r="G26" s="38"/>
      <c r="H26" s="38"/>
      <c r="I26" s="33">
        <v>2.0</v>
      </c>
      <c r="J26" s="38"/>
      <c r="K26" s="32"/>
      <c r="L26" s="32"/>
      <c r="M26" s="32"/>
      <c r="N26" s="32"/>
      <c r="O26" s="32"/>
      <c r="P26" s="32"/>
      <c r="Q26" s="1"/>
      <c r="R26" s="1"/>
      <c r="S26" s="1"/>
      <c r="T26" s="1"/>
      <c r="U26" s="1"/>
      <c r="V26" s="1"/>
      <c r="W26" s="1"/>
    </row>
    <row r="27">
      <c r="A27" s="44">
        <f t="shared" ref="A27:B27" si="21">A26+1</f>
        <v>3</v>
      </c>
      <c r="B27" s="45">
        <f t="shared" si="21"/>
        <v>46293</v>
      </c>
      <c r="C27" s="46">
        <f t="shared" ref="C27:C33" si="22">C20</f>
        <v>46286</v>
      </c>
      <c r="D27" s="89" t="s">
        <v>43</v>
      </c>
      <c r="E27" s="51">
        <v>1.0</v>
      </c>
      <c r="F27" s="33">
        <v>2.0</v>
      </c>
      <c r="G27" s="51" t="s">
        <v>44</v>
      </c>
      <c r="H27" s="51">
        <v>1.0</v>
      </c>
      <c r="I27" s="33">
        <v>2.0</v>
      </c>
      <c r="J27" s="51"/>
      <c r="K27" s="85"/>
      <c r="L27" s="32"/>
      <c r="M27" s="32"/>
      <c r="N27" s="51">
        <v>1.0</v>
      </c>
      <c r="O27" s="87">
        <v>1.0</v>
      </c>
      <c r="P27" s="51"/>
      <c r="Q27" s="1"/>
      <c r="R27" s="1"/>
      <c r="S27" s="1"/>
      <c r="T27" s="1"/>
      <c r="U27" s="1"/>
      <c r="V27" s="1"/>
      <c r="W27" s="1"/>
    </row>
    <row r="28">
      <c r="A28" s="44">
        <f t="shared" ref="A28:A33" si="23">A27</f>
        <v>3</v>
      </c>
      <c r="B28" s="45">
        <f t="shared" ref="B28:B33" si="24">B27+1</f>
        <v>46294</v>
      </c>
      <c r="C28" s="86">
        <f t="shared" si="22"/>
        <v>46287</v>
      </c>
      <c r="D28" s="96"/>
      <c r="E28" s="51">
        <v>1.0</v>
      </c>
      <c r="F28" s="33">
        <v>2.0</v>
      </c>
      <c r="G28" s="51" t="s">
        <v>45</v>
      </c>
      <c r="H28" s="51">
        <v>1.0</v>
      </c>
      <c r="I28" s="33">
        <v>2.0</v>
      </c>
      <c r="J28" s="92"/>
      <c r="K28" s="51"/>
      <c r="L28" s="87">
        <v>1.0</v>
      </c>
      <c r="M28" s="51"/>
      <c r="N28" s="32"/>
      <c r="O28" s="87">
        <v>1.0</v>
      </c>
      <c r="P28" s="32"/>
      <c r="Q28" s="1"/>
      <c r="R28" s="1"/>
      <c r="S28" s="1"/>
      <c r="T28" s="1"/>
      <c r="U28" s="1"/>
      <c r="V28" s="1"/>
      <c r="W28" s="1"/>
    </row>
    <row r="29">
      <c r="A29" s="44">
        <f t="shared" si="23"/>
        <v>3</v>
      </c>
      <c r="B29" s="45">
        <f t="shared" si="24"/>
        <v>46295</v>
      </c>
      <c r="C29" s="46">
        <f t="shared" si="22"/>
        <v>46288</v>
      </c>
      <c r="D29" s="94"/>
      <c r="E29" s="51"/>
      <c r="F29" s="33">
        <v>2.0</v>
      </c>
      <c r="H29" s="51"/>
      <c r="I29" s="33">
        <v>2.0</v>
      </c>
      <c r="K29" s="51"/>
      <c r="L29" s="87">
        <v>1.0</v>
      </c>
      <c r="M29" s="51"/>
      <c r="N29" s="51">
        <v>2.0</v>
      </c>
      <c r="O29" s="87">
        <v>1.0</v>
      </c>
      <c r="P29" s="51"/>
      <c r="Q29" s="1"/>
      <c r="R29" s="1"/>
      <c r="S29" s="1"/>
      <c r="T29" s="1"/>
      <c r="U29" s="1"/>
      <c r="V29" s="1"/>
      <c r="W29" s="1"/>
    </row>
    <row r="30">
      <c r="A30" s="44">
        <f t="shared" si="23"/>
        <v>3</v>
      </c>
      <c r="B30" s="45">
        <f t="shared" si="24"/>
        <v>46296</v>
      </c>
      <c r="C30" s="86">
        <f t="shared" si="22"/>
        <v>46289</v>
      </c>
      <c r="D30" s="13" t="s">
        <v>46</v>
      </c>
      <c r="E30" s="51">
        <v>2.0</v>
      </c>
      <c r="F30" s="33">
        <v>2.0</v>
      </c>
      <c r="G30" s="51" t="s">
        <v>47</v>
      </c>
      <c r="H30" s="51">
        <v>2.0</v>
      </c>
      <c r="I30" s="33">
        <v>2.0</v>
      </c>
      <c r="J30" s="51"/>
      <c r="K30" s="32"/>
      <c r="L30" s="87">
        <v>1.0</v>
      </c>
      <c r="M30" s="32"/>
      <c r="N30" s="51">
        <v>2.0</v>
      </c>
      <c r="O30" s="87">
        <v>1.0</v>
      </c>
      <c r="P30" s="51"/>
      <c r="Q30" s="1"/>
      <c r="R30" s="1"/>
      <c r="S30" s="1"/>
      <c r="T30" s="1"/>
      <c r="U30" s="1"/>
      <c r="V30" s="1"/>
      <c r="W30" s="1"/>
    </row>
    <row r="31">
      <c r="A31" s="44">
        <f t="shared" si="23"/>
        <v>3</v>
      </c>
      <c r="B31" s="45">
        <f t="shared" si="24"/>
        <v>46297</v>
      </c>
      <c r="C31" s="46">
        <f t="shared" si="22"/>
        <v>46290</v>
      </c>
      <c r="D31" s="89"/>
      <c r="E31" s="51"/>
      <c r="F31" s="33">
        <v>2.0</v>
      </c>
      <c r="G31" s="51"/>
      <c r="H31" s="51"/>
      <c r="I31" s="33">
        <v>2.0</v>
      </c>
      <c r="J31" s="51"/>
      <c r="K31" s="51"/>
      <c r="L31" s="87">
        <v>1.0</v>
      </c>
      <c r="M31" s="68"/>
      <c r="N31" s="51"/>
      <c r="O31" s="87">
        <v>1.0</v>
      </c>
      <c r="P31" s="32"/>
      <c r="Q31" s="1"/>
      <c r="R31" s="1"/>
      <c r="S31" s="1"/>
      <c r="T31" s="1"/>
      <c r="U31" s="1"/>
      <c r="V31" s="1"/>
      <c r="W31" s="1"/>
    </row>
    <row r="32">
      <c r="A32" s="95">
        <f t="shared" si="23"/>
        <v>3</v>
      </c>
      <c r="B32" s="77">
        <f t="shared" si="24"/>
        <v>46298</v>
      </c>
      <c r="C32" s="78">
        <f t="shared" si="22"/>
        <v>46291</v>
      </c>
      <c r="D32" s="79"/>
      <c r="E32" s="32"/>
      <c r="F32" s="33">
        <v>2.0</v>
      </c>
      <c r="G32" s="38"/>
      <c r="H32" s="32"/>
      <c r="I32" s="33">
        <v>2.0</v>
      </c>
      <c r="J32" s="38"/>
      <c r="K32" s="32"/>
      <c r="L32" s="32"/>
      <c r="M32" s="32"/>
      <c r="N32" s="32"/>
      <c r="O32" s="32"/>
      <c r="P32" s="32"/>
      <c r="Q32" s="1"/>
      <c r="R32" s="1"/>
      <c r="S32" s="1"/>
      <c r="T32" s="1"/>
      <c r="U32" s="1"/>
      <c r="V32" s="1"/>
      <c r="W32" s="1"/>
    </row>
    <row r="33">
      <c r="A33" s="95">
        <f t="shared" si="23"/>
        <v>3</v>
      </c>
      <c r="B33" s="77">
        <f t="shared" si="24"/>
        <v>46299</v>
      </c>
      <c r="C33" s="78">
        <f t="shared" si="22"/>
        <v>46292</v>
      </c>
      <c r="D33" s="79"/>
      <c r="E33" s="32"/>
      <c r="F33" s="33">
        <v>2.0</v>
      </c>
      <c r="G33" s="38"/>
      <c r="H33" s="32"/>
      <c r="I33" s="33">
        <v>2.0</v>
      </c>
      <c r="J33" s="38"/>
      <c r="K33" s="32"/>
      <c r="L33" s="32"/>
      <c r="M33" s="32"/>
      <c r="N33" s="32"/>
      <c r="O33" s="32"/>
      <c r="P33" s="32"/>
      <c r="Q33" s="1"/>
      <c r="R33" s="1"/>
      <c r="S33" s="1"/>
      <c r="T33" s="1"/>
      <c r="U33" s="1"/>
      <c r="V33" s="1"/>
      <c r="W33" s="1"/>
    </row>
    <row r="34">
      <c r="A34" s="44">
        <f t="shared" ref="A34:B34" si="25">A33+1</f>
        <v>4</v>
      </c>
      <c r="B34" s="45">
        <f t="shared" si="25"/>
        <v>46300</v>
      </c>
      <c r="C34" s="46">
        <f t="shared" ref="C34:C203" si="26">B34</f>
        <v>46300</v>
      </c>
      <c r="D34" s="89" t="s">
        <v>48</v>
      </c>
      <c r="E34" s="51">
        <v>0.0</v>
      </c>
      <c r="F34" s="33">
        <v>2.0</v>
      </c>
      <c r="G34" s="97" t="s">
        <v>49</v>
      </c>
      <c r="H34" s="51">
        <v>0.0</v>
      </c>
      <c r="I34" s="33">
        <v>2.0</v>
      </c>
      <c r="J34" s="98" t="s">
        <v>50</v>
      </c>
      <c r="K34" s="85"/>
      <c r="L34" s="32"/>
      <c r="M34" s="32"/>
      <c r="N34" s="51">
        <v>1.0</v>
      </c>
      <c r="O34" s="87">
        <v>1.0</v>
      </c>
      <c r="P34" s="51"/>
      <c r="Q34" s="1"/>
      <c r="R34" s="1"/>
      <c r="S34" s="1"/>
      <c r="T34" s="1"/>
      <c r="U34" s="1"/>
      <c r="V34" s="1"/>
      <c r="W34" s="1"/>
    </row>
    <row r="35">
      <c r="A35" s="44">
        <f t="shared" ref="A35:A40" si="27">A34</f>
        <v>4</v>
      </c>
      <c r="B35" s="45">
        <f t="shared" ref="B35:B40" si="28">B34+1</f>
        <v>46301</v>
      </c>
      <c r="C35" s="86">
        <f t="shared" si="26"/>
        <v>46301</v>
      </c>
      <c r="D35" s="96"/>
      <c r="E35" s="51">
        <v>0.0</v>
      </c>
      <c r="F35" s="33">
        <v>2.0</v>
      </c>
      <c r="G35" s="97" t="s">
        <v>51</v>
      </c>
      <c r="H35" s="51">
        <v>0.0</v>
      </c>
      <c r="I35" s="33">
        <v>2.0</v>
      </c>
      <c r="J35" s="98" t="s">
        <v>50</v>
      </c>
      <c r="K35" s="51"/>
      <c r="L35" s="87">
        <v>1.0</v>
      </c>
      <c r="M35" s="51"/>
      <c r="N35" s="32"/>
      <c r="O35" s="87">
        <v>1.0</v>
      </c>
      <c r="P35" s="32"/>
      <c r="Q35" s="1"/>
      <c r="R35" s="1"/>
      <c r="S35" s="1"/>
      <c r="T35" s="1"/>
      <c r="U35" s="1"/>
      <c r="V35" s="1"/>
      <c r="W35" s="1"/>
    </row>
    <row r="36">
      <c r="A36" s="44">
        <f t="shared" si="27"/>
        <v>4</v>
      </c>
      <c r="B36" s="45">
        <f t="shared" si="28"/>
        <v>46302</v>
      </c>
      <c r="C36" s="46">
        <f t="shared" si="26"/>
        <v>46302</v>
      </c>
      <c r="D36" s="94"/>
      <c r="E36" s="51"/>
      <c r="F36" s="33">
        <v>2.0</v>
      </c>
      <c r="H36" s="51"/>
      <c r="I36" s="33">
        <v>2.0</v>
      </c>
      <c r="K36" s="51"/>
      <c r="L36" s="87">
        <v>1.0</v>
      </c>
      <c r="M36" s="99" t="s">
        <v>52</v>
      </c>
      <c r="N36" s="51">
        <v>2.0</v>
      </c>
      <c r="O36" s="87">
        <v>1.0</v>
      </c>
      <c r="P36" s="99" t="s">
        <v>52</v>
      </c>
      <c r="Q36" s="1"/>
      <c r="R36" s="1"/>
      <c r="S36" s="1"/>
      <c r="T36" s="1"/>
      <c r="U36" s="1"/>
      <c r="V36" s="1"/>
      <c r="W36" s="1"/>
    </row>
    <row r="37">
      <c r="A37" s="44">
        <f t="shared" si="27"/>
        <v>4</v>
      </c>
      <c r="B37" s="45">
        <f t="shared" si="28"/>
        <v>46303</v>
      </c>
      <c r="C37" s="86">
        <f t="shared" si="26"/>
        <v>46303</v>
      </c>
      <c r="D37" s="89" t="s">
        <v>53</v>
      </c>
      <c r="E37" s="51">
        <v>2.0</v>
      </c>
      <c r="F37" s="33">
        <v>2.0</v>
      </c>
      <c r="G37" s="51"/>
      <c r="H37" s="51">
        <v>2.0</v>
      </c>
      <c r="I37" s="33">
        <v>2.0</v>
      </c>
      <c r="J37" s="51"/>
      <c r="K37" s="100"/>
      <c r="L37" s="101"/>
      <c r="M37" s="100"/>
      <c r="N37" s="102"/>
      <c r="O37" s="101"/>
      <c r="P37" s="102"/>
      <c r="Q37" s="1"/>
      <c r="R37" s="1"/>
      <c r="S37" s="1"/>
      <c r="T37" s="1"/>
      <c r="U37" s="1"/>
      <c r="V37" s="1"/>
      <c r="W37" s="1"/>
    </row>
    <row r="38">
      <c r="A38" s="44">
        <f t="shared" si="27"/>
        <v>4</v>
      </c>
      <c r="B38" s="45">
        <f t="shared" si="28"/>
        <v>46304</v>
      </c>
      <c r="C38" s="46">
        <f t="shared" si="26"/>
        <v>46304</v>
      </c>
      <c r="D38" s="89"/>
      <c r="E38" s="51"/>
      <c r="F38" s="33">
        <v>2.0</v>
      </c>
      <c r="G38" s="51"/>
      <c r="H38" s="51"/>
      <c r="I38" s="33">
        <v>2.0</v>
      </c>
      <c r="J38" s="51"/>
      <c r="K38" s="102"/>
      <c r="L38" s="101"/>
      <c r="M38" s="103"/>
      <c r="N38" s="102"/>
      <c r="O38" s="101"/>
      <c r="P38" s="100"/>
      <c r="Q38" s="1"/>
      <c r="R38" s="1"/>
      <c r="S38" s="1"/>
      <c r="T38" s="1"/>
      <c r="U38" s="1"/>
      <c r="V38" s="1"/>
      <c r="W38" s="1"/>
    </row>
    <row r="39">
      <c r="A39" s="95">
        <f t="shared" si="27"/>
        <v>4</v>
      </c>
      <c r="B39" s="77">
        <f t="shared" si="28"/>
        <v>46305</v>
      </c>
      <c r="C39" s="78">
        <f t="shared" si="26"/>
        <v>46305</v>
      </c>
      <c r="D39" s="79"/>
      <c r="E39" s="32"/>
      <c r="F39" s="48">
        <v>4.0</v>
      </c>
      <c r="G39" s="79"/>
      <c r="H39" s="32"/>
      <c r="I39" s="48">
        <v>4.0</v>
      </c>
      <c r="J39" s="79"/>
      <c r="K39" s="32"/>
      <c r="L39" s="32"/>
      <c r="M39" s="32"/>
      <c r="N39" s="32"/>
      <c r="O39" s="32"/>
      <c r="P39" s="32"/>
      <c r="Q39" s="1"/>
      <c r="R39" s="1"/>
      <c r="S39" s="1"/>
      <c r="T39" s="1"/>
      <c r="U39" s="1"/>
      <c r="V39" s="1"/>
      <c r="W39" s="1"/>
    </row>
    <row r="40">
      <c r="A40" s="95">
        <f t="shared" si="27"/>
        <v>4</v>
      </c>
      <c r="B40" s="77">
        <f t="shared" si="28"/>
        <v>46306</v>
      </c>
      <c r="C40" s="78">
        <f t="shared" si="26"/>
        <v>46306</v>
      </c>
      <c r="D40" s="79"/>
      <c r="E40" s="32"/>
      <c r="F40" s="48">
        <v>4.0</v>
      </c>
      <c r="G40" s="79"/>
      <c r="H40" s="32"/>
      <c r="I40" s="48">
        <v>4.0</v>
      </c>
      <c r="J40" s="79"/>
      <c r="K40" s="32"/>
      <c r="L40" s="32"/>
      <c r="M40" s="32"/>
      <c r="N40" s="32"/>
      <c r="O40" s="32"/>
      <c r="P40" s="32"/>
      <c r="Q40" s="1"/>
      <c r="R40" s="1"/>
      <c r="S40" s="1"/>
      <c r="T40" s="1"/>
      <c r="U40" s="1"/>
      <c r="V40" s="1"/>
      <c r="W40" s="1"/>
    </row>
    <row r="41">
      <c r="A41" s="104">
        <f t="shared" ref="A41:B41" si="29">A40+1</f>
        <v>5</v>
      </c>
      <c r="B41" s="105">
        <f t="shared" si="29"/>
        <v>46307</v>
      </c>
      <c r="C41" s="105">
        <f t="shared" si="26"/>
        <v>46307</v>
      </c>
      <c r="D41" s="106" t="s">
        <v>54</v>
      </c>
      <c r="E41" s="51">
        <v>0.0</v>
      </c>
      <c r="F41" s="104"/>
      <c r="G41" s="104"/>
      <c r="H41" s="51">
        <v>0.0</v>
      </c>
      <c r="I41" s="104"/>
      <c r="J41" s="104"/>
      <c r="K41" s="85"/>
      <c r="L41" s="32"/>
      <c r="M41" s="32"/>
      <c r="N41" s="51">
        <v>1.0</v>
      </c>
      <c r="O41" s="39">
        <v>3.0</v>
      </c>
      <c r="P41" s="51"/>
      <c r="Q41" s="1"/>
      <c r="R41" s="1"/>
      <c r="S41" s="1"/>
      <c r="T41" s="1"/>
      <c r="U41" s="1"/>
      <c r="V41" s="1"/>
      <c r="W41" s="1"/>
    </row>
    <row r="42">
      <c r="A42" s="90">
        <f t="shared" ref="A42:A47" si="30">A41</f>
        <v>5</v>
      </c>
      <c r="B42" s="45">
        <f t="shared" ref="B42:B47" si="31">B41+1</f>
        <v>46308</v>
      </c>
      <c r="C42" s="46">
        <f t="shared" si="26"/>
        <v>46308</v>
      </c>
      <c r="D42" s="96"/>
      <c r="E42" s="51">
        <v>0.0</v>
      </c>
      <c r="F42" s="48">
        <v>4.0</v>
      </c>
      <c r="G42" s="92"/>
      <c r="H42" s="51">
        <v>0.0</v>
      </c>
      <c r="I42" s="48">
        <v>4.0</v>
      </c>
      <c r="J42" s="92"/>
      <c r="K42" s="51"/>
      <c r="L42" s="39">
        <v>3.0</v>
      </c>
      <c r="M42" s="51"/>
      <c r="N42" s="32"/>
      <c r="O42" s="32"/>
      <c r="P42" s="32"/>
      <c r="Q42" s="80"/>
      <c r="R42" s="1"/>
      <c r="S42" s="1"/>
      <c r="T42" s="1"/>
      <c r="U42" s="1"/>
      <c r="V42" s="1"/>
      <c r="W42" s="1"/>
    </row>
    <row r="43">
      <c r="A43" s="90">
        <f t="shared" si="30"/>
        <v>5</v>
      </c>
      <c r="B43" s="45">
        <f t="shared" si="31"/>
        <v>46309</v>
      </c>
      <c r="C43" s="46">
        <f t="shared" si="26"/>
        <v>46309</v>
      </c>
      <c r="D43" s="94"/>
      <c r="E43" s="51"/>
      <c r="F43" s="48">
        <v>4.0</v>
      </c>
      <c r="H43" s="51"/>
      <c r="I43" s="48">
        <v>4.0</v>
      </c>
      <c r="K43" s="51"/>
      <c r="L43" s="39">
        <v>3.0</v>
      </c>
      <c r="M43" s="51"/>
      <c r="N43" s="51">
        <v>2.0</v>
      </c>
      <c r="O43" s="39">
        <v>3.0</v>
      </c>
      <c r="P43" s="51"/>
      <c r="Q43" s="1"/>
      <c r="R43" s="1"/>
      <c r="S43" s="1"/>
      <c r="T43" s="1"/>
      <c r="U43" s="1"/>
      <c r="V43" s="1"/>
      <c r="W43" s="1"/>
    </row>
    <row r="44">
      <c r="A44" s="90">
        <f t="shared" si="30"/>
        <v>5</v>
      </c>
      <c r="B44" s="45">
        <f t="shared" si="31"/>
        <v>46310</v>
      </c>
      <c r="C44" s="46">
        <f t="shared" si="26"/>
        <v>46310</v>
      </c>
      <c r="D44" s="89" t="s">
        <v>55</v>
      </c>
      <c r="E44" s="51">
        <v>2.0</v>
      </c>
      <c r="F44" s="48">
        <v>4.0</v>
      </c>
      <c r="G44" s="51"/>
      <c r="H44" s="51">
        <v>2.0</v>
      </c>
      <c r="I44" s="48">
        <v>4.0</v>
      </c>
      <c r="J44" s="51"/>
      <c r="K44" s="32"/>
      <c r="L44" s="32"/>
      <c r="M44" s="32"/>
      <c r="N44" s="51">
        <v>2.0</v>
      </c>
      <c r="O44" s="39">
        <v>3.0</v>
      </c>
      <c r="P44" s="51"/>
      <c r="Q44" s="1"/>
      <c r="R44" s="1"/>
      <c r="S44" s="1"/>
      <c r="T44" s="1"/>
      <c r="U44" s="1"/>
      <c r="W44" s="1"/>
    </row>
    <row r="45">
      <c r="A45" s="90">
        <f t="shared" si="30"/>
        <v>5</v>
      </c>
      <c r="B45" s="45">
        <f t="shared" si="31"/>
        <v>46311</v>
      </c>
      <c r="C45" s="46">
        <f t="shared" si="26"/>
        <v>46311</v>
      </c>
      <c r="D45" s="89"/>
      <c r="E45" s="51"/>
      <c r="F45" s="48">
        <v>4.0</v>
      </c>
      <c r="G45" s="51"/>
      <c r="H45" s="51"/>
      <c r="I45" s="48">
        <v>4.0</v>
      </c>
      <c r="J45" s="51"/>
      <c r="K45" s="51"/>
      <c r="L45" s="39">
        <v>3.0</v>
      </c>
      <c r="M45" s="68"/>
      <c r="N45" s="32"/>
      <c r="O45" s="32"/>
      <c r="P45" s="32"/>
      <c r="Q45" s="1"/>
      <c r="R45" s="1"/>
      <c r="S45" s="1"/>
      <c r="T45" s="1"/>
      <c r="U45" s="1"/>
      <c r="W45" s="1"/>
    </row>
    <row r="46">
      <c r="A46" s="95">
        <f t="shared" si="30"/>
        <v>5</v>
      </c>
      <c r="B46" s="77">
        <f t="shared" si="31"/>
        <v>46312</v>
      </c>
      <c r="C46" s="78">
        <f t="shared" si="26"/>
        <v>46312</v>
      </c>
      <c r="D46" s="79"/>
      <c r="E46" s="32"/>
      <c r="F46" s="48">
        <v>4.0</v>
      </c>
      <c r="G46" s="38"/>
      <c r="H46" s="32"/>
      <c r="I46" s="48">
        <v>4.0</v>
      </c>
      <c r="J46" s="38"/>
      <c r="K46" s="32"/>
      <c r="L46" s="32"/>
      <c r="M46" s="32"/>
      <c r="N46" s="32"/>
      <c r="O46" s="32"/>
      <c r="P46" s="32"/>
      <c r="Q46" s="1"/>
      <c r="R46" s="1"/>
      <c r="S46" s="1"/>
      <c r="T46" s="1"/>
      <c r="U46" s="1"/>
      <c r="W46" s="1"/>
    </row>
    <row r="47">
      <c r="A47" s="95">
        <f t="shared" si="30"/>
        <v>5</v>
      </c>
      <c r="B47" s="77">
        <f t="shared" si="31"/>
        <v>46313</v>
      </c>
      <c r="C47" s="78">
        <f t="shared" si="26"/>
        <v>46313</v>
      </c>
      <c r="D47" s="79"/>
      <c r="E47" s="32"/>
      <c r="F47" s="48">
        <v>4.0</v>
      </c>
      <c r="G47" s="38"/>
      <c r="H47" s="32"/>
      <c r="I47" s="48">
        <v>4.0</v>
      </c>
      <c r="J47" s="38"/>
      <c r="K47" s="32"/>
      <c r="L47" s="32"/>
      <c r="M47" s="32"/>
      <c r="N47" s="32"/>
      <c r="O47" s="32"/>
      <c r="P47" s="32"/>
      <c r="Q47" s="1"/>
      <c r="R47" s="1"/>
      <c r="S47" s="1"/>
      <c r="T47" s="1"/>
      <c r="U47" s="1"/>
      <c r="W47" s="1"/>
    </row>
    <row r="48">
      <c r="A48" s="44">
        <f t="shared" ref="A48:B48" si="32">A47+1</f>
        <v>6</v>
      </c>
      <c r="B48" s="45">
        <f t="shared" si="32"/>
        <v>46314</v>
      </c>
      <c r="C48" s="46">
        <f t="shared" si="26"/>
        <v>46314</v>
      </c>
      <c r="D48" s="89"/>
      <c r="E48" s="51">
        <v>1.0</v>
      </c>
      <c r="F48" s="48">
        <v>4.0</v>
      </c>
      <c r="G48" s="51"/>
      <c r="H48" s="51">
        <v>1.0</v>
      </c>
      <c r="I48" s="48">
        <v>4.0</v>
      </c>
      <c r="J48" s="51"/>
      <c r="K48" s="85"/>
      <c r="L48" s="32"/>
      <c r="M48" s="32"/>
      <c r="N48" s="51">
        <v>1.0</v>
      </c>
      <c r="O48" s="39">
        <v>3.0</v>
      </c>
      <c r="P48" s="51"/>
      <c r="Q48" s="1"/>
      <c r="R48" s="1"/>
      <c r="S48" s="1"/>
      <c r="T48" s="1"/>
      <c r="U48" s="1"/>
      <c r="W48" s="1"/>
    </row>
    <row r="49">
      <c r="A49" s="44">
        <f t="shared" ref="A49:A54" si="33">A48</f>
        <v>6</v>
      </c>
      <c r="B49" s="45">
        <f t="shared" ref="B49:B54" si="34">B48+1</f>
        <v>46315</v>
      </c>
      <c r="C49" s="86">
        <f t="shared" si="26"/>
        <v>46315</v>
      </c>
      <c r="D49" s="96"/>
      <c r="E49" s="51">
        <v>1.0</v>
      </c>
      <c r="F49" s="48">
        <v>4.0</v>
      </c>
      <c r="G49" s="92"/>
      <c r="H49" s="51">
        <v>1.0</v>
      </c>
      <c r="I49" s="48">
        <v>4.0</v>
      </c>
      <c r="J49" s="92"/>
      <c r="K49" s="51"/>
      <c r="L49" s="39">
        <v>3.0</v>
      </c>
      <c r="M49" s="51"/>
      <c r="N49" s="32"/>
      <c r="O49" s="32"/>
      <c r="P49" s="32"/>
      <c r="Q49" s="1"/>
      <c r="R49" s="1"/>
      <c r="S49" s="1"/>
      <c r="T49" s="1"/>
      <c r="U49" s="1"/>
      <c r="W49" s="1"/>
    </row>
    <row r="50">
      <c r="A50" s="44">
        <f t="shared" si="33"/>
        <v>6</v>
      </c>
      <c r="B50" s="45">
        <f t="shared" si="34"/>
        <v>46316</v>
      </c>
      <c r="C50" s="46">
        <f t="shared" si="26"/>
        <v>46316</v>
      </c>
      <c r="D50" s="94" t="s">
        <v>56</v>
      </c>
      <c r="E50" s="51"/>
      <c r="F50" s="48">
        <v>4.0</v>
      </c>
      <c r="H50" s="51"/>
      <c r="I50" s="48">
        <v>4.0</v>
      </c>
      <c r="K50" s="51"/>
      <c r="L50" s="39">
        <v>3.0</v>
      </c>
      <c r="M50" s="51"/>
      <c r="N50" s="51">
        <v>2.0</v>
      </c>
      <c r="O50" s="39">
        <v>3.0</v>
      </c>
      <c r="P50" s="51"/>
      <c r="Q50" s="1"/>
      <c r="R50" s="1"/>
      <c r="S50" s="1"/>
      <c r="T50" s="1"/>
      <c r="U50" s="1"/>
      <c r="W50" s="1"/>
    </row>
    <row r="51">
      <c r="A51" s="44">
        <f t="shared" si="33"/>
        <v>6</v>
      </c>
      <c r="B51" s="45">
        <f t="shared" si="34"/>
        <v>46317</v>
      </c>
      <c r="C51" s="86">
        <f t="shared" si="26"/>
        <v>46317</v>
      </c>
      <c r="D51" s="94"/>
      <c r="E51" s="51">
        <v>2.0</v>
      </c>
      <c r="F51" s="48">
        <v>4.0</v>
      </c>
      <c r="G51" s="51"/>
      <c r="H51" s="51">
        <v>2.0</v>
      </c>
      <c r="I51" s="48">
        <v>4.0</v>
      </c>
      <c r="J51" s="51"/>
      <c r="K51" s="32"/>
      <c r="L51" s="32"/>
      <c r="M51" s="32"/>
      <c r="N51" s="51">
        <v>2.0</v>
      </c>
      <c r="O51" s="39">
        <v>3.0</v>
      </c>
      <c r="P51" s="51"/>
      <c r="Q51" s="1"/>
      <c r="R51" s="1"/>
      <c r="S51" s="1"/>
      <c r="T51" s="1"/>
      <c r="U51" s="1"/>
      <c r="W51" s="1"/>
    </row>
    <row r="52">
      <c r="A52" s="44">
        <f t="shared" si="33"/>
        <v>6</v>
      </c>
      <c r="B52" s="45">
        <f t="shared" si="34"/>
        <v>46318</v>
      </c>
      <c r="C52" s="46">
        <f t="shared" si="26"/>
        <v>46318</v>
      </c>
      <c r="D52" s="89"/>
      <c r="E52" s="51"/>
      <c r="F52" s="48">
        <v>4.0</v>
      </c>
      <c r="G52" s="51"/>
      <c r="H52" s="51"/>
      <c r="I52" s="48">
        <v>4.0</v>
      </c>
      <c r="J52" s="51"/>
      <c r="K52" s="51"/>
      <c r="L52" s="39">
        <v>3.0</v>
      </c>
      <c r="M52" s="68"/>
      <c r="N52" s="32"/>
      <c r="O52" s="32"/>
      <c r="P52" s="32"/>
      <c r="Q52" s="1"/>
      <c r="R52" s="1"/>
      <c r="S52" s="1"/>
      <c r="T52" s="1"/>
      <c r="U52" s="1"/>
      <c r="W52" s="1"/>
    </row>
    <row r="53">
      <c r="A53" s="95">
        <f t="shared" si="33"/>
        <v>6</v>
      </c>
      <c r="B53" s="77">
        <f t="shared" si="34"/>
        <v>46319</v>
      </c>
      <c r="C53" s="78">
        <f t="shared" si="26"/>
        <v>46319</v>
      </c>
      <c r="D53" s="79"/>
      <c r="E53" s="32"/>
      <c r="F53" s="48">
        <v>4.0</v>
      </c>
      <c r="G53" s="79"/>
      <c r="H53" s="32"/>
      <c r="I53" s="48">
        <v>4.0</v>
      </c>
      <c r="J53" s="79"/>
      <c r="K53" s="32"/>
      <c r="L53" s="32"/>
      <c r="M53" s="32"/>
      <c r="N53" s="32"/>
      <c r="O53" s="32"/>
      <c r="P53" s="32"/>
      <c r="Q53" s="1"/>
      <c r="R53" s="1"/>
      <c r="S53" s="1"/>
      <c r="T53" s="1"/>
      <c r="U53" s="1"/>
      <c r="W53" s="1"/>
    </row>
    <row r="54">
      <c r="A54" s="95">
        <f t="shared" si="33"/>
        <v>6</v>
      </c>
      <c r="B54" s="77">
        <f t="shared" si="34"/>
        <v>46320</v>
      </c>
      <c r="C54" s="78">
        <f t="shared" si="26"/>
        <v>46320</v>
      </c>
      <c r="D54" s="79"/>
      <c r="E54" s="32"/>
      <c r="F54" s="48">
        <v>4.0</v>
      </c>
      <c r="G54" s="79"/>
      <c r="H54" s="32"/>
      <c r="I54" s="48">
        <v>4.0</v>
      </c>
      <c r="J54" s="79"/>
      <c r="K54" s="32"/>
      <c r="L54" s="32"/>
      <c r="M54" s="32"/>
      <c r="N54" s="32"/>
      <c r="O54" s="32"/>
      <c r="P54" s="32"/>
      <c r="Q54" s="1"/>
      <c r="R54" s="80"/>
      <c r="S54" s="80"/>
      <c r="T54" s="1"/>
      <c r="U54" s="1"/>
      <c r="W54" s="1"/>
    </row>
    <row r="55">
      <c r="A55" s="90">
        <f t="shared" ref="A55:B55" si="35">A54+1</f>
        <v>7</v>
      </c>
      <c r="B55" s="45">
        <f t="shared" si="35"/>
        <v>46321</v>
      </c>
      <c r="C55" s="46">
        <f t="shared" si="26"/>
        <v>46321</v>
      </c>
      <c r="D55" s="89"/>
      <c r="E55" s="51">
        <v>1.0</v>
      </c>
      <c r="F55" s="48">
        <v>4.0</v>
      </c>
      <c r="G55" s="89"/>
      <c r="H55" s="51">
        <v>1.0</v>
      </c>
      <c r="I55" s="48">
        <v>4.0</v>
      </c>
      <c r="J55" s="89"/>
      <c r="K55" s="51"/>
      <c r="L55" s="19"/>
      <c r="M55" s="32"/>
      <c r="N55" s="51">
        <v>1.0</v>
      </c>
      <c r="O55" s="39">
        <v>3.0</v>
      </c>
      <c r="P55" s="51"/>
      <c r="Q55" s="1"/>
      <c r="R55" s="1"/>
      <c r="S55" s="1"/>
      <c r="T55" s="1"/>
      <c r="U55" s="1"/>
      <c r="W55" s="1"/>
    </row>
    <row r="56">
      <c r="A56" s="90">
        <f>A51+1</f>
        <v>7</v>
      </c>
      <c r="B56" s="45">
        <f t="shared" ref="B56:B61" si="36">B55+1</f>
        <v>46322</v>
      </c>
      <c r="C56" s="86">
        <f t="shared" si="26"/>
        <v>46322</v>
      </c>
      <c r="D56" s="96"/>
      <c r="E56" s="51">
        <v>1.0</v>
      </c>
      <c r="F56" s="48">
        <v>4.0</v>
      </c>
      <c r="G56" s="96"/>
      <c r="H56" s="51">
        <v>1.0</v>
      </c>
      <c r="I56" s="48">
        <v>4.0</v>
      </c>
      <c r="J56" s="96"/>
      <c r="K56" s="51"/>
      <c r="L56" s="19">
        <v>3.0</v>
      </c>
      <c r="M56" s="51"/>
      <c r="N56" s="32"/>
      <c r="O56" s="32"/>
      <c r="P56" s="32"/>
      <c r="Q56" s="1"/>
      <c r="R56" s="1"/>
      <c r="S56" s="1"/>
      <c r="T56" s="1"/>
      <c r="U56" s="1"/>
      <c r="W56" s="1"/>
    </row>
    <row r="57">
      <c r="A57" s="90">
        <f>A56</f>
        <v>7</v>
      </c>
      <c r="B57" s="45">
        <f t="shared" si="36"/>
        <v>46323</v>
      </c>
      <c r="C57" s="46">
        <f t="shared" si="26"/>
        <v>46323</v>
      </c>
      <c r="D57" s="94"/>
      <c r="E57" s="51"/>
      <c r="F57" s="48">
        <v>4.0</v>
      </c>
      <c r="G57" s="94"/>
      <c r="H57" s="51"/>
      <c r="I57" s="48">
        <v>4.0</v>
      </c>
      <c r="J57" s="94"/>
      <c r="K57" s="51"/>
      <c r="L57" s="19"/>
      <c r="M57" s="102"/>
      <c r="N57" s="102"/>
      <c r="O57" s="102"/>
      <c r="P57" s="102"/>
      <c r="Q57" s="1"/>
      <c r="R57" s="1"/>
      <c r="S57" s="1"/>
      <c r="T57" s="1"/>
      <c r="U57" s="1"/>
      <c r="W57" s="1"/>
    </row>
    <row r="58">
      <c r="A58" s="90">
        <f>A56</f>
        <v>7</v>
      </c>
      <c r="B58" s="45">
        <f t="shared" si="36"/>
        <v>46324</v>
      </c>
      <c r="C58" s="86">
        <f t="shared" si="26"/>
        <v>46324</v>
      </c>
      <c r="D58" s="94"/>
      <c r="E58" s="51">
        <v>2.0</v>
      </c>
      <c r="F58" s="48">
        <v>4.0</v>
      </c>
      <c r="G58" s="94"/>
      <c r="H58" s="51">
        <v>2.0</v>
      </c>
      <c r="I58" s="48">
        <v>4.0</v>
      </c>
      <c r="J58" s="94"/>
      <c r="K58" s="51"/>
      <c r="L58" s="19"/>
      <c r="M58" s="32"/>
      <c r="N58" s="51">
        <v>2.0</v>
      </c>
      <c r="O58" s="39">
        <v>3.0</v>
      </c>
      <c r="P58" s="99" t="s">
        <v>57</v>
      </c>
      <c r="Q58" s="1"/>
      <c r="R58" s="1"/>
      <c r="S58" s="1"/>
      <c r="T58" s="1"/>
      <c r="U58" s="1"/>
      <c r="W58" s="1"/>
    </row>
    <row r="59">
      <c r="A59" s="90">
        <f>A56</f>
        <v>7</v>
      </c>
      <c r="B59" s="45">
        <f t="shared" si="36"/>
        <v>46325</v>
      </c>
      <c r="C59" s="46">
        <f t="shared" si="26"/>
        <v>46325</v>
      </c>
      <c r="D59" s="89"/>
      <c r="E59" s="51"/>
      <c r="F59" s="48">
        <v>4.0</v>
      </c>
      <c r="G59" s="89"/>
      <c r="H59" s="51"/>
      <c r="I59" s="48">
        <v>4.0</v>
      </c>
      <c r="J59" s="89"/>
      <c r="K59" s="51"/>
      <c r="L59" s="19">
        <v>3.0</v>
      </c>
      <c r="M59" s="99" t="s">
        <v>57</v>
      </c>
      <c r="N59" s="32"/>
      <c r="O59" s="32"/>
      <c r="P59" s="32"/>
      <c r="Q59" s="1"/>
      <c r="R59" s="1"/>
      <c r="S59" s="1"/>
      <c r="T59" s="1"/>
      <c r="U59" s="1"/>
      <c r="W59" s="1"/>
    </row>
    <row r="60">
      <c r="A60" s="107">
        <f t="shared" ref="A60:A61" si="37">A56</f>
        <v>7</v>
      </c>
      <c r="B60" s="108">
        <f t="shared" si="36"/>
        <v>46326</v>
      </c>
      <c r="C60" s="109">
        <f t="shared" si="26"/>
        <v>46326</v>
      </c>
      <c r="D60" s="79"/>
      <c r="E60" s="32"/>
      <c r="F60" s="48">
        <v>4.0</v>
      </c>
      <c r="G60" s="38"/>
      <c r="H60" s="32"/>
      <c r="I60" s="48">
        <v>4.0</v>
      </c>
      <c r="J60" s="38"/>
      <c r="K60" s="32"/>
      <c r="L60" s="32"/>
      <c r="M60" s="32"/>
      <c r="N60" s="32"/>
      <c r="O60" s="32"/>
      <c r="P60" s="32"/>
      <c r="Q60" s="1"/>
      <c r="R60" s="1"/>
      <c r="S60" s="1"/>
      <c r="T60" s="1"/>
      <c r="U60" s="1"/>
      <c r="W60" s="1"/>
    </row>
    <row r="61">
      <c r="A61" s="107">
        <f t="shared" si="37"/>
        <v>7</v>
      </c>
      <c r="B61" s="108">
        <f t="shared" si="36"/>
        <v>46327</v>
      </c>
      <c r="C61" s="109">
        <f t="shared" si="26"/>
        <v>46327</v>
      </c>
      <c r="D61" s="79"/>
      <c r="E61" s="32"/>
      <c r="F61" s="48">
        <v>4.0</v>
      </c>
      <c r="G61" s="38"/>
      <c r="H61" s="32"/>
      <c r="I61" s="48">
        <v>4.0</v>
      </c>
      <c r="J61" s="38"/>
      <c r="K61" s="32"/>
      <c r="L61" s="32"/>
      <c r="M61" s="32"/>
      <c r="N61" s="32"/>
      <c r="O61" s="32"/>
      <c r="P61" s="32"/>
      <c r="Q61" s="1"/>
      <c r="R61" s="1"/>
      <c r="S61" s="1"/>
      <c r="T61" s="1"/>
      <c r="U61" s="1"/>
      <c r="W61" s="1"/>
    </row>
    <row r="62">
      <c r="A62" s="90">
        <f t="shared" ref="A62:B62" si="38">A61+1</f>
        <v>8</v>
      </c>
      <c r="B62" s="45">
        <f t="shared" si="38"/>
        <v>46328</v>
      </c>
      <c r="C62" s="46">
        <f t="shared" si="26"/>
        <v>46328</v>
      </c>
      <c r="D62" s="89"/>
      <c r="E62" s="51">
        <v>1.0</v>
      </c>
      <c r="F62" s="48">
        <v>4.0</v>
      </c>
      <c r="G62" s="51"/>
      <c r="H62" s="51">
        <v>1.0</v>
      </c>
      <c r="I62" s="48">
        <v>4.0</v>
      </c>
      <c r="J62" s="51"/>
      <c r="K62" s="85"/>
      <c r="L62" s="32"/>
      <c r="M62" s="32"/>
      <c r="N62" s="51">
        <v>1.0</v>
      </c>
      <c r="O62" s="110">
        <v>2.0</v>
      </c>
      <c r="P62" s="51"/>
      <c r="Q62" s="1"/>
      <c r="R62" s="1"/>
      <c r="S62" s="1"/>
      <c r="T62" s="1"/>
      <c r="U62" s="1"/>
      <c r="W62" s="1"/>
    </row>
    <row r="63">
      <c r="A63" s="90">
        <f>A58+1</f>
        <v>8</v>
      </c>
      <c r="B63" s="45">
        <f t="shared" ref="B63:B68" si="39">B62+1</f>
        <v>46329</v>
      </c>
      <c r="C63" s="86">
        <f t="shared" si="26"/>
        <v>46329</v>
      </c>
      <c r="D63" s="96"/>
      <c r="E63" s="51">
        <v>1.0</v>
      </c>
      <c r="F63" s="48">
        <v>4.0</v>
      </c>
      <c r="G63" s="92"/>
      <c r="H63" s="51">
        <v>1.0</v>
      </c>
      <c r="I63" s="48">
        <v>4.0</v>
      </c>
      <c r="J63" s="92"/>
      <c r="K63" s="51"/>
      <c r="L63" s="110">
        <v>2.0</v>
      </c>
      <c r="M63" s="51"/>
      <c r="N63" s="32"/>
      <c r="O63" s="32"/>
      <c r="P63" s="32"/>
      <c r="Q63" s="1"/>
      <c r="R63" s="1"/>
      <c r="S63" s="1"/>
      <c r="T63" s="1"/>
      <c r="U63" s="1"/>
      <c r="W63" s="1"/>
    </row>
    <row r="64">
      <c r="A64" s="90">
        <f>A63</f>
        <v>8</v>
      </c>
      <c r="B64" s="45">
        <f t="shared" si="39"/>
        <v>46330</v>
      </c>
      <c r="C64" s="46">
        <f t="shared" si="26"/>
        <v>46330</v>
      </c>
      <c r="D64" s="94"/>
      <c r="E64" s="51"/>
      <c r="F64" s="48">
        <v>4.0</v>
      </c>
      <c r="G64" s="92"/>
      <c r="H64" s="51"/>
      <c r="I64" s="48">
        <v>4.0</v>
      </c>
      <c r="J64" s="92"/>
      <c r="K64" s="51"/>
      <c r="L64" s="110">
        <v>2.0</v>
      </c>
      <c r="M64" s="51"/>
      <c r="N64" s="51">
        <v>2.0</v>
      </c>
      <c r="O64" s="110">
        <v>2.0</v>
      </c>
      <c r="P64" s="51"/>
      <c r="Q64" s="1"/>
      <c r="R64" s="1"/>
      <c r="S64" s="1"/>
      <c r="T64" s="1"/>
      <c r="U64" s="1"/>
      <c r="W64" s="1"/>
    </row>
    <row r="65">
      <c r="A65" s="90">
        <f>A63</f>
        <v>8</v>
      </c>
      <c r="B65" s="45">
        <f t="shared" si="39"/>
        <v>46331</v>
      </c>
      <c r="C65" s="86">
        <f t="shared" si="26"/>
        <v>46331</v>
      </c>
      <c r="D65" s="111" t="s">
        <v>58</v>
      </c>
      <c r="E65" s="51">
        <v>2.0</v>
      </c>
      <c r="F65" s="48">
        <v>4.0</v>
      </c>
      <c r="G65" s="51"/>
      <c r="H65" s="51">
        <v>2.0</v>
      </c>
      <c r="I65" s="48">
        <v>4.0</v>
      </c>
      <c r="J65" s="51"/>
      <c r="K65" s="32"/>
      <c r="L65" s="32"/>
      <c r="M65" s="32"/>
      <c r="N65" s="51">
        <v>2.0</v>
      </c>
      <c r="O65" s="110">
        <v>2.0</v>
      </c>
      <c r="P65" s="51"/>
      <c r="Q65" s="1"/>
      <c r="R65" s="1"/>
      <c r="S65" s="1"/>
      <c r="T65" s="1"/>
      <c r="U65" s="1"/>
      <c r="W65" s="1"/>
    </row>
    <row r="66">
      <c r="A66" s="90">
        <f>A63</f>
        <v>8</v>
      </c>
      <c r="B66" s="45">
        <f t="shared" si="39"/>
        <v>46332</v>
      </c>
      <c r="C66" s="46">
        <f t="shared" si="26"/>
        <v>46332</v>
      </c>
      <c r="D66" s="89"/>
      <c r="E66" s="51"/>
      <c r="F66" s="48">
        <v>4.0</v>
      </c>
      <c r="G66" s="92"/>
      <c r="H66" s="51"/>
      <c r="I66" s="48">
        <v>4.0</v>
      </c>
      <c r="J66" s="92"/>
      <c r="K66" s="51"/>
      <c r="L66" s="110">
        <v>2.0</v>
      </c>
      <c r="M66" s="68"/>
      <c r="N66" s="32"/>
      <c r="O66" s="32"/>
      <c r="P66" s="32"/>
      <c r="Q66" s="1"/>
      <c r="R66" s="1"/>
      <c r="S66" s="1"/>
      <c r="T66" s="1"/>
      <c r="U66" s="1"/>
      <c r="W66" s="1"/>
    </row>
    <row r="67">
      <c r="A67" s="107">
        <f t="shared" ref="A67:A68" si="40">A63</f>
        <v>8</v>
      </c>
      <c r="B67" s="77">
        <f t="shared" si="39"/>
        <v>46333</v>
      </c>
      <c r="C67" s="78">
        <f t="shared" si="26"/>
        <v>46333</v>
      </c>
      <c r="D67" s="79"/>
      <c r="E67" s="32"/>
      <c r="F67" s="19">
        <v>1.0</v>
      </c>
      <c r="G67" s="79"/>
      <c r="H67" s="32"/>
      <c r="I67" s="19">
        <v>1.0</v>
      </c>
      <c r="J67" s="79"/>
      <c r="K67" s="32"/>
      <c r="L67" s="32"/>
      <c r="M67" s="32"/>
      <c r="N67" s="32"/>
      <c r="O67" s="32"/>
      <c r="P67" s="32"/>
      <c r="Q67" s="1"/>
      <c r="R67" s="1"/>
      <c r="S67" s="1"/>
      <c r="T67" s="1"/>
      <c r="U67" s="1"/>
      <c r="W67" s="1"/>
    </row>
    <row r="68">
      <c r="A68" s="107">
        <f t="shared" si="40"/>
        <v>8</v>
      </c>
      <c r="B68" s="108">
        <f t="shared" si="39"/>
        <v>46334</v>
      </c>
      <c r="C68" s="109">
        <f t="shared" si="26"/>
        <v>46334</v>
      </c>
      <c r="D68" s="79"/>
      <c r="E68" s="32"/>
      <c r="F68" s="19">
        <v>1.0</v>
      </c>
      <c r="G68" s="79"/>
      <c r="H68" s="32"/>
      <c r="I68" s="19">
        <v>1.0</v>
      </c>
      <c r="J68" s="79"/>
      <c r="K68" s="32"/>
      <c r="L68" s="32"/>
      <c r="M68" s="32"/>
      <c r="N68" s="32"/>
      <c r="O68" s="32"/>
      <c r="P68" s="32"/>
      <c r="Q68" s="1"/>
      <c r="R68" s="1"/>
      <c r="S68" s="1"/>
      <c r="T68" s="1"/>
      <c r="U68" s="1"/>
      <c r="W68" s="1"/>
    </row>
    <row r="69">
      <c r="A69" s="90">
        <f t="shared" ref="A69:B69" si="41">A68+1</f>
        <v>9</v>
      </c>
      <c r="B69" s="45">
        <f t="shared" si="41"/>
        <v>46335</v>
      </c>
      <c r="C69" s="46">
        <f t="shared" si="26"/>
        <v>46335</v>
      </c>
      <c r="D69" s="89" t="s">
        <v>59</v>
      </c>
      <c r="E69" s="51">
        <v>1.0</v>
      </c>
      <c r="F69" s="19">
        <v>1.0</v>
      </c>
      <c r="G69" s="89"/>
      <c r="H69" s="51">
        <v>1.0</v>
      </c>
      <c r="I69" s="19">
        <v>1.0</v>
      </c>
      <c r="J69" s="89"/>
      <c r="K69" s="51"/>
      <c r="L69" s="32"/>
      <c r="M69" s="32"/>
      <c r="N69" s="51">
        <v>1.0</v>
      </c>
      <c r="O69" s="110">
        <v>2.0</v>
      </c>
      <c r="P69" s="51"/>
      <c r="Q69" s="1"/>
      <c r="R69" s="1"/>
      <c r="S69" s="1"/>
      <c r="T69" s="1"/>
      <c r="U69" s="1"/>
      <c r="W69" s="1"/>
    </row>
    <row r="70">
      <c r="A70" s="90">
        <f>A65+1</f>
        <v>9</v>
      </c>
      <c r="B70" s="45">
        <f t="shared" ref="B70:B75" si="42">B69+1</f>
        <v>46336</v>
      </c>
      <c r="C70" s="86">
        <f t="shared" si="26"/>
        <v>46336</v>
      </c>
      <c r="D70" s="96"/>
      <c r="E70" s="51">
        <v>1.0</v>
      </c>
      <c r="F70" s="19">
        <v>1.0</v>
      </c>
      <c r="G70" s="96"/>
      <c r="H70" s="51">
        <v>1.0</v>
      </c>
      <c r="I70" s="19">
        <v>1.0</v>
      </c>
      <c r="J70" s="96"/>
      <c r="K70" s="51"/>
      <c r="L70" s="110">
        <v>2.0</v>
      </c>
      <c r="M70" s="51"/>
      <c r="N70" s="32"/>
      <c r="O70" s="32"/>
      <c r="P70" s="32"/>
      <c r="Q70" s="1"/>
      <c r="R70" s="1"/>
      <c r="S70" s="1"/>
      <c r="T70" s="1"/>
      <c r="U70" s="1"/>
      <c r="W70" s="1"/>
    </row>
    <row r="71">
      <c r="A71" s="90">
        <f>A70</f>
        <v>9</v>
      </c>
      <c r="B71" s="45">
        <f t="shared" si="42"/>
        <v>46337</v>
      </c>
      <c r="C71" s="46">
        <f t="shared" si="26"/>
        <v>46337</v>
      </c>
      <c r="D71" s="94"/>
      <c r="E71" s="51"/>
      <c r="F71" s="19">
        <v>1.0</v>
      </c>
      <c r="G71" s="94"/>
      <c r="H71" s="51"/>
      <c r="I71" s="19">
        <v>1.0</v>
      </c>
      <c r="J71" s="94"/>
      <c r="K71" s="51"/>
      <c r="L71" s="110">
        <v>2.0</v>
      </c>
      <c r="M71" s="51"/>
      <c r="N71" s="51">
        <v>2.0</v>
      </c>
      <c r="O71" s="110">
        <v>2.0</v>
      </c>
      <c r="P71" s="51"/>
      <c r="Q71" s="1"/>
      <c r="R71" s="1"/>
      <c r="S71" s="1"/>
      <c r="T71" s="1"/>
      <c r="U71" s="1"/>
      <c r="W71" s="1"/>
    </row>
    <row r="72">
      <c r="A72" s="90">
        <f>A70</f>
        <v>9</v>
      </c>
      <c r="B72" s="45">
        <f t="shared" si="42"/>
        <v>46338</v>
      </c>
      <c r="C72" s="86">
        <f t="shared" si="26"/>
        <v>46338</v>
      </c>
      <c r="D72" s="94"/>
      <c r="E72" s="51">
        <v>2.0</v>
      </c>
      <c r="F72" s="19">
        <v>1.0</v>
      </c>
      <c r="G72" s="94"/>
      <c r="H72" s="51">
        <v>2.0</v>
      </c>
      <c r="I72" s="19">
        <v>1.0</v>
      </c>
      <c r="J72" s="94"/>
      <c r="K72" s="51"/>
      <c r="L72" s="32"/>
      <c r="M72" s="32"/>
      <c r="N72" s="51">
        <v>2.0</v>
      </c>
      <c r="O72" s="110">
        <v>2.0</v>
      </c>
      <c r="P72" s="51"/>
      <c r="Q72" s="1"/>
      <c r="R72" s="1"/>
      <c r="S72" s="1"/>
      <c r="T72" s="1"/>
      <c r="U72" s="1"/>
      <c r="W72" s="1"/>
    </row>
    <row r="73">
      <c r="A73" s="90">
        <f>A70</f>
        <v>9</v>
      </c>
      <c r="B73" s="45">
        <f t="shared" si="42"/>
        <v>46339</v>
      </c>
      <c r="C73" s="46">
        <f t="shared" si="26"/>
        <v>46339</v>
      </c>
      <c r="D73" s="89"/>
      <c r="E73" s="51"/>
      <c r="F73" s="19">
        <v>1.0</v>
      </c>
      <c r="G73" s="89"/>
      <c r="H73" s="51"/>
      <c r="I73" s="19">
        <v>1.0</v>
      </c>
      <c r="J73" s="89"/>
      <c r="K73" s="51"/>
      <c r="L73" s="110">
        <v>2.0</v>
      </c>
      <c r="M73" s="68"/>
      <c r="N73" s="32"/>
      <c r="O73" s="32"/>
      <c r="P73" s="32"/>
      <c r="Q73" s="1"/>
      <c r="R73" s="1"/>
      <c r="S73" s="1"/>
      <c r="T73" s="1"/>
      <c r="U73" s="1"/>
      <c r="W73" s="1"/>
    </row>
    <row r="74">
      <c r="A74" s="107">
        <f t="shared" ref="A74:A75" si="43">A70</f>
        <v>9</v>
      </c>
      <c r="B74" s="77">
        <f t="shared" si="42"/>
        <v>46340</v>
      </c>
      <c r="C74" s="78">
        <f t="shared" si="26"/>
        <v>46340</v>
      </c>
      <c r="D74" s="79"/>
      <c r="E74" s="32"/>
      <c r="F74" s="19">
        <v>1.0</v>
      </c>
      <c r="G74" s="38"/>
      <c r="H74" s="32"/>
      <c r="I74" s="19">
        <v>1.0</v>
      </c>
      <c r="J74" s="38"/>
      <c r="K74" s="32"/>
      <c r="L74" s="32"/>
      <c r="M74" s="32"/>
      <c r="N74" s="32"/>
      <c r="O74" s="32"/>
      <c r="P74" s="32"/>
      <c r="Q74" s="1"/>
      <c r="R74" s="1"/>
      <c r="S74" s="1"/>
      <c r="T74" s="1"/>
      <c r="U74" s="1"/>
      <c r="W74" s="1"/>
    </row>
    <row r="75">
      <c r="A75" s="107">
        <f t="shared" si="43"/>
        <v>9</v>
      </c>
      <c r="B75" s="108">
        <f t="shared" si="42"/>
        <v>46341</v>
      </c>
      <c r="C75" s="109">
        <f t="shared" si="26"/>
        <v>46341</v>
      </c>
      <c r="D75" s="79"/>
      <c r="E75" s="32"/>
      <c r="F75" s="19">
        <v>1.0</v>
      </c>
      <c r="G75" s="38"/>
      <c r="H75" s="32"/>
      <c r="I75" s="19">
        <v>1.0</v>
      </c>
      <c r="J75" s="38"/>
      <c r="K75" s="32"/>
      <c r="L75" s="32"/>
      <c r="M75" s="32"/>
      <c r="N75" s="32"/>
      <c r="O75" s="32"/>
      <c r="P75" s="32"/>
      <c r="Q75" s="1"/>
      <c r="R75" s="1"/>
      <c r="S75" s="1"/>
      <c r="T75" s="1"/>
      <c r="U75" s="1"/>
      <c r="W75" s="1"/>
    </row>
    <row r="76">
      <c r="A76" s="90">
        <f t="shared" ref="A76:B76" si="44">A75+1</f>
        <v>10</v>
      </c>
      <c r="B76" s="45">
        <f t="shared" si="44"/>
        <v>46342</v>
      </c>
      <c r="C76" s="46">
        <f t="shared" si="26"/>
        <v>46342</v>
      </c>
      <c r="D76" s="89" t="s">
        <v>60</v>
      </c>
      <c r="E76" s="51">
        <v>1.0</v>
      </c>
      <c r="F76" s="19">
        <v>1.0</v>
      </c>
      <c r="G76" s="89"/>
      <c r="H76" s="51">
        <v>1.0</v>
      </c>
      <c r="I76" s="19">
        <v>1.0</v>
      </c>
      <c r="J76" s="51"/>
      <c r="K76" s="85"/>
      <c r="L76" s="32"/>
      <c r="M76" s="32"/>
      <c r="N76" s="51">
        <v>1.0</v>
      </c>
      <c r="O76" s="110">
        <v>2.0</v>
      </c>
      <c r="P76" s="51"/>
      <c r="Q76" s="1"/>
      <c r="R76" s="1"/>
      <c r="S76" s="1"/>
      <c r="T76" s="1"/>
      <c r="U76" s="1"/>
      <c r="W76" s="1"/>
    </row>
    <row r="77">
      <c r="A77" s="90">
        <f>A72+1</f>
        <v>10</v>
      </c>
      <c r="B77" s="45">
        <f t="shared" ref="B77:B82" si="45">B76+1</f>
        <v>46343</v>
      </c>
      <c r="C77" s="86">
        <f t="shared" si="26"/>
        <v>46343</v>
      </c>
      <c r="D77" s="91" t="s">
        <v>61</v>
      </c>
      <c r="E77" s="51">
        <v>1.0</v>
      </c>
      <c r="F77" s="19">
        <v>1.0</v>
      </c>
      <c r="G77" s="96"/>
      <c r="H77" s="51">
        <v>1.0</v>
      </c>
      <c r="I77" s="19">
        <v>1.0</v>
      </c>
      <c r="J77" s="92"/>
      <c r="K77" s="51"/>
      <c r="L77" s="110">
        <v>2.0</v>
      </c>
      <c r="M77" s="51"/>
      <c r="N77" s="32"/>
      <c r="O77" s="32"/>
      <c r="P77" s="32"/>
      <c r="Q77" s="1"/>
      <c r="R77" s="1"/>
      <c r="S77" s="1"/>
      <c r="T77" s="1"/>
      <c r="U77" s="1"/>
      <c r="W77" s="1"/>
    </row>
    <row r="78">
      <c r="A78" s="90">
        <f>A77</f>
        <v>10</v>
      </c>
      <c r="B78" s="45">
        <f t="shared" si="45"/>
        <v>46344</v>
      </c>
      <c r="C78" s="46">
        <f t="shared" si="26"/>
        <v>46344</v>
      </c>
      <c r="D78" s="89" t="s">
        <v>62</v>
      </c>
      <c r="E78" s="51"/>
      <c r="F78" s="19">
        <v>1.0</v>
      </c>
      <c r="G78" s="94"/>
      <c r="H78" s="51"/>
      <c r="I78" s="19">
        <v>1.0</v>
      </c>
      <c r="J78" s="92"/>
      <c r="K78" s="51"/>
      <c r="L78" s="110">
        <v>2.0</v>
      </c>
      <c r="M78" s="51"/>
      <c r="N78" s="51">
        <v>2.0</v>
      </c>
      <c r="O78" s="110">
        <v>2.0</v>
      </c>
      <c r="P78" s="51"/>
      <c r="Q78" s="1"/>
      <c r="R78" s="1"/>
      <c r="S78" s="1"/>
      <c r="T78" s="1"/>
      <c r="U78" s="1"/>
      <c r="W78" s="1"/>
    </row>
    <row r="79">
      <c r="A79" s="90">
        <f>A77</f>
        <v>10</v>
      </c>
      <c r="B79" s="45">
        <f t="shared" si="45"/>
        <v>46345</v>
      </c>
      <c r="C79" s="86">
        <f t="shared" si="26"/>
        <v>46345</v>
      </c>
      <c r="D79" s="89" t="s">
        <v>63</v>
      </c>
      <c r="E79" s="51">
        <v>2.0</v>
      </c>
      <c r="F79" s="19">
        <v>1.0</v>
      </c>
      <c r="G79" s="94"/>
      <c r="H79" s="51">
        <v>2.0</v>
      </c>
      <c r="I79" s="19">
        <v>1.0</v>
      </c>
      <c r="J79" s="89"/>
      <c r="K79" s="32"/>
      <c r="L79" s="32"/>
      <c r="M79" s="32"/>
      <c r="N79" s="51">
        <v>2.0</v>
      </c>
      <c r="O79" s="110">
        <v>2.0</v>
      </c>
      <c r="P79" s="51"/>
      <c r="Q79" s="1"/>
      <c r="R79" s="1"/>
      <c r="S79" s="1"/>
      <c r="T79" s="1"/>
      <c r="U79" s="1"/>
      <c r="W79" s="1"/>
    </row>
    <row r="80">
      <c r="A80" s="90">
        <f>A77</f>
        <v>10</v>
      </c>
      <c r="B80" s="45">
        <f t="shared" si="45"/>
        <v>46346</v>
      </c>
      <c r="C80" s="46">
        <f t="shared" si="26"/>
        <v>46346</v>
      </c>
      <c r="D80" s="89"/>
      <c r="E80" s="51"/>
      <c r="F80" s="19">
        <v>1.0</v>
      </c>
      <c r="G80" s="89"/>
      <c r="H80" s="51"/>
      <c r="I80" s="19">
        <v>1.0</v>
      </c>
      <c r="J80" s="51"/>
      <c r="K80" s="51"/>
      <c r="L80" s="110">
        <v>2.0</v>
      </c>
      <c r="M80" s="68"/>
      <c r="N80" s="32"/>
      <c r="O80" s="32"/>
      <c r="P80" s="32"/>
      <c r="Q80" s="1"/>
      <c r="R80" s="1"/>
      <c r="S80" s="1"/>
      <c r="T80" s="1"/>
      <c r="U80" s="1"/>
      <c r="W80" s="1"/>
    </row>
    <row r="81">
      <c r="A81" s="107">
        <f t="shared" ref="A81:A82" si="46">A77</f>
        <v>10</v>
      </c>
      <c r="B81" s="77">
        <f t="shared" si="45"/>
        <v>46347</v>
      </c>
      <c r="C81" s="78">
        <f t="shared" si="26"/>
        <v>46347</v>
      </c>
      <c r="D81" s="79"/>
      <c r="E81" s="32"/>
      <c r="F81" s="64">
        <v>7.0</v>
      </c>
      <c r="G81" s="79"/>
      <c r="H81" s="32"/>
      <c r="I81" s="64">
        <v>7.0</v>
      </c>
      <c r="J81" s="79"/>
      <c r="K81" s="32"/>
      <c r="L81" s="32"/>
      <c r="M81" s="32"/>
      <c r="N81" s="32"/>
      <c r="O81" s="32"/>
      <c r="P81" s="32"/>
      <c r="Q81" s="1"/>
      <c r="R81" s="1"/>
      <c r="S81" s="1"/>
      <c r="T81" s="1"/>
      <c r="U81" s="1"/>
      <c r="W81" s="1"/>
    </row>
    <row r="82">
      <c r="A82" s="107">
        <f t="shared" si="46"/>
        <v>10</v>
      </c>
      <c r="B82" s="108">
        <f t="shared" si="45"/>
        <v>46348</v>
      </c>
      <c r="C82" s="109">
        <f t="shared" si="26"/>
        <v>46348</v>
      </c>
      <c r="D82" s="79"/>
      <c r="E82" s="32"/>
      <c r="F82" s="64">
        <v>7.0</v>
      </c>
      <c r="G82" s="79"/>
      <c r="H82" s="32"/>
      <c r="I82" s="64">
        <v>7.0</v>
      </c>
      <c r="J82" s="79"/>
      <c r="K82" s="32"/>
      <c r="L82" s="32"/>
      <c r="M82" s="32"/>
      <c r="N82" s="32"/>
      <c r="O82" s="32"/>
      <c r="P82" s="32"/>
      <c r="Q82" s="1"/>
      <c r="R82" s="1"/>
      <c r="S82" s="1"/>
      <c r="T82" s="1"/>
      <c r="U82" s="1"/>
      <c r="W82" s="1"/>
    </row>
    <row r="83">
      <c r="A83" s="90">
        <f t="shared" ref="A83:B83" si="47">A82+1</f>
        <v>11</v>
      </c>
      <c r="B83" s="45">
        <f t="shared" si="47"/>
        <v>46349</v>
      </c>
      <c r="C83" s="46">
        <f t="shared" si="26"/>
        <v>46349</v>
      </c>
      <c r="D83" s="89" t="s">
        <v>64</v>
      </c>
      <c r="E83" s="51">
        <v>1.0</v>
      </c>
      <c r="F83" s="64">
        <v>7.0</v>
      </c>
      <c r="G83" s="89"/>
      <c r="H83" s="51">
        <v>1.0</v>
      </c>
      <c r="I83" s="64">
        <v>7.0</v>
      </c>
      <c r="J83" s="89"/>
      <c r="K83" s="51"/>
      <c r="L83" s="32"/>
      <c r="M83" s="32"/>
      <c r="N83" s="51">
        <v>1.0</v>
      </c>
      <c r="O83" s="110">
        <v>2.0</v>
      </c>
      <c r="P83" s="51"/>
      <c r="Q83" s="1"/>
      <c r="R83" s="1"/>
      <c r="S83" s="1"/>
      <c r="T83" s="1"/>
      <c r="U83" s="1"/>
      <c r="W83" s="1"/>
    </row>
    <row r="84">
      <c r="A84" s="90">
        <f>A79+1</f>
        <v>11</v>
      </c>
      <c r="B84" s="45">
        <f t="shared" ref="B84:B89" si="48">B83+1</f>
        <v>46350</v>
      </c>
      <c r="C84" s="86">
        <f t="shared" si="26"/>
        <v>46350</v>
      </c>
      <c r="D84" s="91" t="s">
        <v>65</v>
      </c>
      <c r="E84" s="51">
        <v>1.0</v>
      </c>
      <c r="F84" s="64">
        <v>7.0</v>
      </c>
      <c r="G84" s="96"/>
      <c r="H84" s="51">
        <v>1.0</v>
      </c>
      <c r="I84" s="64">
        <v>7.0</v>
      </c>
      <c r="J84" s="96"/>
      <c r="K84" s="51"/>
      <c r="L84" s="110">
        <v>2.0</v>
      </c>
      <c r="M84" s="51"/>
      <c r="N84" s="32"/>
      <c r="O84" s="32"/>
      <c r="P84" s="32"/>
      <c r="Q84" s="1"/>
      <c r="R84" s="1"/>
      <c r="S84" s="1"/>
      <c r="T84" s="1"/>
      <c r="U84" s="1"/>
      <c r="W84" s="1"/>
    </row>
    <row r="85">
      <c r="A85" s="90">
        <f>A84</f>
        <v>11</v>
      </c>
      <c r="B85" s="45">
        <f t="shared" si="48"/>
        <v>46351</v>
      </c>
      <c r="C85" s="46">
        <f t="shared" si="26"/>
        <v>46351</v>
      </c>
      <c r="D85" s="89" t="s">
        <v>66</v>
      </c>
      <c r="E85" s="51"/>
      <c r="F85" s="64">
        <v>7.0</v>
      </c>
      <c r="G85" s="94"/>
      <c r="H85" s="51"/>
      <c r="I85" s="64">
        <v>7.0</v>
      </c>
      <c r="J85" s="94"/>
      <c r="K85" s="51"/>
      <c r="L85" s="110">
        <v>2.0</v>
      </c>
      <c r="M85" s="99" t="s">
        <v>67</v>
      </c>
      <c r="N85" s="51">
        <v>2.0</v>
      </c>
      <c r="O85" s="110">
        <v>2.0</v>
      </c>
      <c r="P85" s="99" t="s">
        <v>67</v>
      </c>
      <c r="Q85" s="1"/>
      <c r="R85" s="1"/>
      <c r="S85" s="1"/>
      <c r="T85" s="1"/>
      <c r="U85" s="1"/>
      <c r="W85" s="1"/>
    </row>
    <row r="86">
      <c r="A86" s="90">
        <f>A84</f>
        <v>11</v>
      </c>
      <c r="B86" s="45">
        <f t="shared" si="48"/>
        <v>46352</v>
      </c>
      <c r="C86" s="86">
        <f t="shared" si="26"/>
        <v>46352</v>
      </c>
      <c r="D86" s="94"/>
      <c r="E86" s="51">
        <v>2.0</v>
      </c>
      <c r="F86" s="64">
        <v>7.0</v>
      </c>
      <c r="G86" s="94"/>
      <c r="H86" s="51">
        <v>2.0</v>
      </c>
      <c r="I86" s="64">
        <v>7.0</v>
      </c>
      <c r="J86" s="94"/>
      <c r="K86" s="51"/>
      <c r="L86" s="32"/>
      <c r="M86" s="32"/>
      <c r="N86" s="51">
        <v>2.0</v>
      </c>
      <c r="O86" s="112">
        <v>4.0</v>
      </c>
      <c r="P86" s="51"/>
      <c r="Q86" s="1"/>
      <c r="R86" s="1"/>
      <c r="S86" s="1"/>
      <c r="T86" s="1"/>
      <c r="U86" s="1"/>
      <c r="W86" s="1"/>
    </row>
    <row r="87">
      <c r="A87" s="90">
        <f>A84</f>
        <v>11</v>
      </c>
      <c r="B87" s="45">
        <f t="shared" si="48"/>
        <v>46353</v>
      </c>
      <c r="C87" s="46">
        <f t="shared" si="26"/>
        <v>46353</v>
      </c>
      <c r="D87" s="89"/>
      <c r="E87" s="51"/>
      <c r="F87" s="64">
        <v>7.0</v>
      </c>
      <c r="G87" s="89"/>
      <c r="H87" s="51"/>
      <c r="I87" s="64">
        <v>7.0</v>
      </c>
      <c r="J87" s="89"/>
      <c r="K87" s="51"/>
      <c r="L87" s="112">
        <v>4.0</v>
      </c>
      <c r="M87" s="51"/>
      <c r="N87" s="32"/>
      <c r="O87" s="32"/>
      <c r="P87" s="32"/>
      <c r="Q87" s="1"/>
      <c r="R87" s="1"/>
      <c r="S87" s="1"/>
      <c r="T87" s="1"/>
      <c r="U87" s="1"/>
      <c r="W87" s="1"/>
    </row>
    <row r="88">
      <c r="A88" s="95">
        <f t="shared" ref="A88:A89" si="49">A84</f>
        <v>11</v>
      </c>
      <c r="B88" s="108">
        <f t="shared" si="48"/>
        <v>46354</v>
      </c>
      <c r="C88" s="109">
        <f t="shared" si="26"/>
        <v>46354</v>
      </c>
      <c r="D88" s="79"/>
      <c r="E88" s="32"/>
      <c r="F88" s="64">
        <v>7.0</v>
      </c>
      <c r="G88" s="38"/>
      <c r="H88" s="32"/>
      <c r="I88" s="64">
        <v>7.0</v>
      </c>
      <c r="J88" s="38"/>
      <c r="K88" s="32"/>
      <c r="L88" s="32"/>
      <c r="M88" s="32"/>
      <c r="N88" s="32"/>
      <c r="O88" s="32"/>
      <c r="P88" s="32"/>
      <c r="Q88" s="1"/>
      <c r="R88" s="1"/>
      <c r="S88" s="1"/>
      <c r="T88" s="1"/>
      <c r="U88" s="1"/>
      <c r="W88" s="1"/>
    </row>
    <row r="89">
      <c r="A89" s="95">
        <f t="shared" si="49"/>
        <v>11</v>
      </c>
      <c r="B89" s="108">
        <f t="shared" si="48"/>
        <v>46355</v>
      </c>
      <c r="C89" s="109">
        <f t="shared" si="26"/>
        <v>46355</v>
      </c>
      <c r="D89" s="79"/>
      <c r="E89" s="32"/>
      <c r="F89" s="64">
        <v>7.0</v>
      </c>
      <c r="G89" s="38"/>
      <c r="H89" s="32"/>
      <c r="I89" s="64">
        <v>7.0</v>
      </c>
      <c r="J89" s="38"/>
      <c r="K89" s="32"/>
      <c r="L89" s="32"/>
      <c r="M89" s="32"/>
      <c r="N89" s="32"/>
      <c r="O89" s="32"/>
      <c r="P89" s="32"/>
      <c r="Q89" s="1"/>
      <c r="R89" s="1"/>
      <c r="S89" s="1"/>
      <c r="T89" s="1"/>
      <c r="U89" s="1"/>
      <c r="W89" s="1"/>
    </row>
    <row r="90">
      <c r="A90" s="90">
        <f t="shared" ref="A90:B90" si="50">A89+1</f>
        <v>12</v>
      </c>
      <c r="B90" s="45">
        <f t="shared" si="50"/>
        <v>46356</v>
      </c>
      <c r="C90" s="46">
        <f t="shared" si="26"/>
        <v>46356</v>
      </c>
      <c r="D90" s="51"/>
      <c r="E90" s="51">
        <v>1.0</v>
      </c>
      <c r="F90" s="64">
        <v>7.0</v>
      </c>
      <c r="G90" s="51"/>
      <c r="H90" s="51">
        <v>1.0</v>
      </c>
      <c r="I90" s="64">
        <v>7.0</v>
      </c>
      <c r="J90" s="51"/>
      <c r="K90" s="51"/>
      <c r="L90" s="32"/>
      <c r="M90" s="32"/>
      <c r="N90" s="51">
        <v>1.0</v>
      </c>
      <c r="O90" s="112">
        <v>4.0</v>
      </c>
      <c r="P90" s="51"/>
      <c r="Q90" s="1"/>
      <c r="R90" s="1"/>
      <c r="S90" s="1"/>
      <c r="T90" s="1"/>
      <c r="U90" s="1"/>
      <c r="W90" s="1"/>
    </row>
    <row r="91">
      <c r="A91" s="90">
        <f>A86+1</f>
        <v>12</v>
      </c>
      <c r="B91" s="45">
        <f t="shared" ref="B91:B96" si="51">B90+1</f>
        <v>46357</v>
      </c>
      <c r="C91" s="86">
        <f t="shared" si="26"/>
        <v>46357</v>
      </c>
      <c r="D91" s="51"/>
      <c r="E91" s="51">
        <v>1.0</v>
      </c>
      <c r="F91" s="64">
        <v>7.0</v>
      </c>
      <c r="G91" s="51"/>
      <c r="H91" s="51">
        <v>1.0</v>
      </c>
      <c r="I91" s="64">
        <v>7.0</v>
      </c>
      <c r="J91" s="51"/>
      <c r="K91" s="51"/>
      <c r="L91" s="112">
        <v>4.0</v>
      </c>
      <c r="M91" s="51"/>
      <c r="N91" s="32"/>
      <c r="O91" s="32"/>
      <c r="P91" s="32"/>
      <c r="Q91" s="1"/>
      <c r="R91" s="1"/>
      <c r="S91" s="1"/>
      <c r="T91" s="1"/>
      <c r="U91" s="1"/>
      <c r="W91" s="1"/>
    </row>
    <row r="92">
      <c r="A92" s="90">
        <f>A91</f>
        <v>12</v>
      </c>
      <c r="B92" s="45">
        <f t="shared" si="51"/>
        <v>46358</v>
      </c>
      <c r="C92" s="46">
        <f t="shared" si="26"/>
        <v>46358</v>
      </c>
      <c r="D92" s="51"/>
      <c r="E92" s="51"/>
      <c r="F92" s="64">
        <v>7.0</v>
      </c>
      <c r="G92" s="51"/>
      <c r="H92" s="51"/>
      <c r="I92" s="64">
        <v>7.0</v>
      </c>
      <c r="J92" s="51"/>
      <c r="K92" s="51"/>
      <c r="L92" s="113"/>
      <c r="M92" s="102"/>
      <c r="N92" s="102"/>
      <c r="O92" s="113"/>
      <c r="P92" s="102"/>
      <c r="Q92" s="1"/>
      <c r="R92" s="1"/>
      <c r="S92" s="1"/>
      <c r="T92" s="1"/>
      <c r="U92" s="1"/>
      <c r="W92" s="1"/>
    </row>
    <row r="93">
      <c r="A93" s="90">
        <f>A91</f>
        <v>12</v>
      </c>
      <c r="B93" s="45">
        <f t="shared" si="51"/>
        <v>46359</v>
      </c>
      <c r="C93" s="86">
        <f t="shared" si="26"/>
        <v>46359</v>
      </c>
      <c r="D93" s="114" t="s">
        <v>68</v>
      </c>
      <c r="E93" s="51">
        <v>2.0</v>
      </c>
      <c r="F93" s="64">
        <v>7.0</v>
      </c>
      <c r="G93" s="51"/>
      <c r="H93" s="51">
        <v>2.0</v>
      </c>
      <c r="I93" s="64">
        <v>7.0</v>
      </c>
      <c r="J93" s="51"/>
      <c r="K93" s="51"/>
      <c r="L93" s="100"/>
      <c r="M93" s="100"/>
      <c r="N93" s="102"/>
      <c r="O93" s="113"/>
      <c r="P93" s="102"/>
      <c r="Q93" s="1"/>
      <c r="R93" s="1"/>
      <c r="S93" s="1"/>
      <c r="T93" s="1"/>
      <c r="U93" s="1"/>
      <c r="W93" s="1"/>
    </row>
    <row r="94">
      <c r="A94" s="90">
        <f>A91</f>
        <v>12</v>
      </c>
      <c r="B94" s="45">
        <f t="shared" si="51"/>
        <v>46360</v>
      </c>
      <c r="C94" s="46">
        <f t="shared" si="26"/>
        <v>46360</v>
      </c>
      <c r="D94" s="51"/>
      <c r="E94" s="51"/>
      <c r="F94" s="69" t="s">
        <v>29</v>
      </c>
      <c r="G94" s="51"/>
      <c r="H94" s="51"/>
      <c r="I94" s="69" t="s">
        <v>29</v>
      </c>
      <c r="J94" s="51"/>
      <c r="K94" s="51"/>
      <c r="L94" s="100"/>
      <c r="M94" s="100"/>
      <c r="N94" s="102"/>
      <c r="O94" s="113"/>
      <c r="P94" s="102"/>
      <c r="Q94" s="1"/>
      <c r="R94" s="1"/>
      <c r="S94" s="1"/>
      <c r="T94" s="1"/>
      <c r="U94" s="1"/>
      <c r="W94" s="1"/>
    </row>
    <row r="95">
      <c r="A95" s="76">
        <f t="shared" ref="A95:A96" si="52">A91</f>
        <v>12</v>
      </c>
      <c r="B95" s="77">
        <f t="shared" si="51"/>
        <v>46361</v>
      </c>
      <c r="C95" s="78">
        <f t="shared" si="26"/>
        <v>46361</v>
      </c>
      <c r="D95" s="79"/>
      <c r="E95" s="32"/>
      <c r="F95" s="69" t="s">
        <v>29</v>
      </c>
      <c r="G95" s="79"/>
      <c r="H95" s="32"/>
      <c r="I95" s="69" t="s">
        <v>29</v>
      </c>
      <c r="J95" s="79"/>
      <c r="K95" s="32"/>
      <c r="L95" s="32"/>
      <c r="M95" s="32"/>
      <c r="N95" s="32"/>
      <c r="O95" s="32"/>
      <c r="P95" s="32"/>
      <c r="Q95" s="1"/>
      <c r="R95" s="1"/>
      <c r="S95" s="1"/>
      <c r="T95" s="1"/>
      <c r="U95" s="1"/>
      <c r="W95" s="1"/>
    </row>
    <row r="96">
      <c r="A96" s="76">
        <f t="shared" si="52"/>
        <v>12</v>
      </c>
      <c r="B96" s="77">
        <f t="shared" si="51"/>
        <v>46362</v>
      </c>
      <c r="C96" s="78">
        <f t="shared" si="26"/>
        <v>46362</v>
      </c>
      <c r="D96" s="79"/>
      <c r="E96" s="32"/>
      <c r="F96" s="69" t="s">
        <v>29</v>
      </c>
      <c r="G96" s="79"/>
      <c r="H96" s="32"/>
      <c r="I96" s="69" t="s">
        <v>29</v>
      </c>
      <c r="J96" s="79"/>
      <c r="K96" s="32"/>
      <c r="L96" s="32"/>
      <c r="M96" s="32"/>
      <c r="N96" s="32"/>
      <c r="O96" s="32"/>
      <c r="P96" s="32"/>
      <c r="Q96" s="1"/>
      <c r="R96" s="1"/>
      <c r="S96" s="1"/>
      <c r="T96" s="1"/>
      <c r="U96" s="1"/>
      <c r="W96" s="1"/>
    </row>
    <row r="97">
      <c r="A97" s="115">
        <f t="shared" ref="A97:B97" si="53">A96+1</f>
        <v>13</v>
      </c>
      <c r="B97" s="116">
        <f t="shared" si="53"/>
        <v>46363</v>
      </c>
      <c r="C97" s="117">
        <f t="shared" si="26"/>
        <v>46363</v>
      </c>
      <c r="D97" s="118"/>
      <c r="E97" s="51">
        <v>0.0</v>
      </c>
      <c r="F97" s="69" t="s">
        <v>29</v>
      </c>
      <c r="G97" s="118"/>
      <c r="H97" s="51">
        <v>0.0</v>
      </c>
      <c r="I97" s="69" t="s">
        <v>29</v>
      </c>
      <c r="J97" s="118"/>
      <c r="K97" s="84"/>
      <c r="L97" s="32"/>
      <c r="M97" s="32"/>
      <c r="N97" s="51">
        <v>1.0</v>
      </c>
      <c r="O97" s="112">
        <v>4.0</v>
      </c>
      <c r="P97" s="51"/>
      <c r="Q97" s="1"/>
      <c r="R97" s="1"/>
      <c r="S97" s="1"/>
      <c r="T97" s="1"/>
      <c r="U97" s="1"/>
      <c r="W97" s="1"/>
    </row>
    <row r="98">
      <c r="A98" s="119">
        <f>A93+1</f>
        <v>13</v>
      </c>
      <c r="B98" s="116">
        <f t="shared" ref="B98:B103" si="54">B97+1</f>
        <v>46364</v>
      </c>
      <c r="C98" s="117">
        <f t="shared" si="26"/>
        <v>46364</v>
      </c>
      <c r="D98" s="118"/>
      <c r="E98" s="51">
        <v>0.0</v>
      </c>
      <c r="F98" s="69" t="s">
        <v>29</v>
      </c>
      <c r="G98" s="118"/>
      <c r="H98" s="51">
        <v>0.0</v>
      </c>
      <c r="I98" s="69" t="s">
        <v>29</v>
      </c>
      <c r="J98" s="118"/>
      <c r="K98" s="51"/>
      <c r="L98" s="112">
        <v>4.0</v>
      </c>
      <c r="M98" s="51"/>
      <c r="N98" s="32"/>
      <c r="O98" s="32"/>
      <c r="P98" s="32"/>
      <c r="Q98" s="1"/>
      <c r="R98" s="1"/>
      <c r="S98" s="1"/>
      <c r="T98" s="1"/>
      <c r="U98" s="1"/>
      <c r="W98" s="1"/>
    </row>
    <row r="99">
      <c r="A99" s="44">
        <f>A98</f>
        <v>13</v>
      </c>
      <c r="B99" s="45">
        <f t="shared" si="54"/>
        <v>46365</v>
      </c>
      <c r="C99" s="46">
        <f t="shared" si="26"/>
        <v>46365</v>
      </c>
      <c r="D99" s="51"/>
      <c r="E99" s="51"/>
      <c r="F99" s="69" t="s">
        <v>29</v>
      </c>
      <c r="G99" s="51"/>
      <c r="H99" s="51"/>
      <c r="I99" s="69" t="s">
        <v>29</v>
      </c>
      <c r="J99" s="51"/>
      <c r="K99" s="51"/>
      <c r="L99" s="112">
        <v>4.0</v>
      </c>
      <c r="M99" s="51"/>
      <c r="N99" s="51">
        <v>2.0</v>
      </c>
      <c r="O99" s="112">
        <v>4.0</v>
      </c>
      <c r="P99" s="51"/>
      <c r="Q99" s="1"/>
      <c r="R99" s="1"/>
      <c r="S99" s="1"/>
      <c r="T99" s="1"/>
      <c r="U99" s="1"/>
      <c r="W99" s="1"/>
    </row>
    <row r="100">
      <c r="A100" s="44">
        <f>A98</f>
        <v>13</v>
      </c>
      <c r="B100" s="45">
        <f t="shared" si="54"/>
        <v>46366</v>
      </c>
      <c r="C100" s="86">
        <f t="shared" si="26"/>
        <v>46366</v>
      </c>
      <c r="D100" s="51"/>
      <c r="E100" s="51">
        <v>2.0</v>
      </c>
      <c r="F100" s="69" t="s">
        <v>29</v>
      </c>
      <c r="G100" s="51"/>
      <c r="H100" s="51">
        <v>2.0</v>
      </c>
      <c r="I100" s="69" t="s">
        <v>29</v>
      </c>
      <c r="J100" s="51"/>
      <c r="K100" s="51"/>
      <c r="L100" s="32"/>
      <c r="M100" s="32"/>
      <c r="N100" s="51">
        <v>2.0</v>
      </c>
      <c r="O100" s="112">
        <v>4.0</v>
      </c>
      <c r="P100" s="51"/>
      <c r="Q100" s="1"/>
      <c r="R100" s="1"/>
      <c r="S100" s="1"/>
      <c r="T100" s="1"/>
      <c r="U100" s="1"/>
      <c r="W100" s="1"/>
    </row>
    <row r="101">
      <c r="A101" s="44">
        <f>A98</f>
        <v>13</v>
      </c>
      <c r="B101" s="45">
        <f t="shared" si="54"/>
        <v>46367</v>
      </c>
      <c r="C101" s="46">
        <f t="shared" si="26"/>
        <v>46367</v>
      </c>
      <c r="D101" s="51"/>
      <c r="E101" s="51"/>
      <c r="F101" s="69" t="s">
        <v>29</v>
      </c>
      <c r="G101" s="51"/>
      <c r="H101" s="51"/>
      <c r="I101" s="69" t="s">
        <v>29</v>
      </c>
      <c r="J101" s="51"/>
      <c r="K101" s="51"/>
      <c r="L101" s="112">
        <v>4.0</v>
      </c>
      <c r="M101" s="68"/>
      <c r="N101" s="32"/>
      <c r="O101" s="32"/>
      <c r="P101" s="32"/>
      <c r="Q101" s="1"/>
      <c r="R101" s="1"/>
      <c r="S101" s="1"/>
      <c r="T101" s="1"/>
      <c r="U101" s="1"/>
      <c r="W101" s="1"/>
    </row>
    <row r="102">
      <c r="A102" s="76">
        <f t="shared" ref="A102:A103" si="55">A98</f>
        <v>13</v>
      </c>
      <c r="B102" s="77">
        <f t="shared" si="54"/>
        <v>46368</v>
      </c>
      <c r="C102" s="78">
        <f t="shared" si="26"/>
        <v>46368</v>
      </c>
      <c r="D102" s="79"/>
      <c r="E102" s="32"/>
      <c r="F102" s="69" t="s">
        <v>29</v>
      </c>
      <c r="G102" s="38"/>
      <c r="H102" s="32"/>
      <c r="I102" s="69" t="s">
        <v>29</v>
      </c>
      <c r="J102" s="38"/>
      <c r="K102" s="32"/>
      <c r="L102" s="32"/>
      <c r="M102" s="32"/>
      <c r="N102" s="32"/>
      <c r="O102" s="32"/>
      <c r="P102" s="32"/>
      <c r="Q102" s="1"/>
      <c r="R102" s="1"/>
      <c r="S102" s="1"/>
      <c r="T102" s="1"/>
      <c r="U102" s="1"/>
      <c r="W102" s="1"/>
    </row>
    <row r="103">
      <c r="A103" s="76">
        <f t="shared" si="55"/>
        <v>13</v>
      </c>
      <c r="B103" s="77">
        <f t="shared" si="54"/>
        <v>46369</v>
      </c>
      <c r="C103" s="78">
        <f t="shared" si="26"/>
        <v>46369</v>
      </c>
      <c r="D103" s="79"/>
      <c r="E103" s="32"/>
      <c r="F103" s="69" t="s">
        <v>29</v>
      </c>
      <c r="G103" s="38"/>
      <c r="H103" s="32"/>
      <c r="I103" s="69" t="s">
        <v>29</v>
      </c>
      <c r="J103" s="38"/>
      <c r="K103" s="32"/>
      <c r="L103" s="32"/>
      <c r="M103" s="32"/>
      <c r="N103" s="32"/>
      <c r="O103" s="32"/>
      <c r="P103" s="32"/>
      <c r="Q103" s="1"/>
      <c r="R103" s="1"/>
      <c r="S103" s="1"/>
      <c r="T103" s="1"/>
      <c r="U103" s="1"/>
      <c r="W103" s="1"/>
    </row>
    <row r="104">
      <c r="A104" s="90">
        <f t="shared" ref="A104:B104" si="56">A103+1</f>
        <v>14</v>
      </c>
      <c r="B104" s="45">
        <f t="shared" si="56"/>
        <v>46370</v>
      </c>
      <c r="C104" s="46">
        <f t="shared" si="26"/>
        <v>46370</v>
      </c>
      <c r="D104" s="51"/>
      <c r="E104" s="51">
        <v>1.0</v>
      </c>
      <c r="F104" s="69" t="s">
        <v>29</v>
      </c>
      <c r="G104" s="51"/>
      <c r="H104" s="51">
        <v>1.0</v>
      </c>
      <c r="I104" s="69" t="s">
        <v>29</v>
      </c>
      <c r="J104" s="51"/>
      <c r="K104" s="85"/>
      <c r="L104" s="32"/>
      <c r="M104" s="32"/>
      <c r="N104" s="51">
        <v>1.0</v>
      </c>
      <c r="O104" s="112">
        <v>4.0</v>
      </c>
      <c r="P104" s="51"/>
      <c r="Q104" s="1"/>
      <c r="R104" s="1"/>
      <c r="S104" s="1"/>
      <c r="T104" s="1"/>
      <c r="U104" s="1"/>
      <c r="W104" s="1"/>
    </row>
    <row r="105">
      <c r="A105" s="90">
        <f>A100+1</f>
        <v>14</v>
      </c>
      <c r="B105" s="45">
        <f t="shared" ref="B105:B131" si="57">B104+1</f>
        <v>46371</v>
      </c>
      <c r="C105" s="86">
        <f t="shared" si="26"/>
        <v>46371</v>
      </c>
      <c r="D105" s="92"/>
      <c r="E105" s="51">
        <v>1.0</v>
      </c>
      <c r="F105" s="69" t="s">
        <v>29</v>
      </c>
      <c r="G105" s="92"/>
      <c r="H105" s="51">
        <v>1.0</v>
      </c>
      <c r="I105" s="69" t="s">
        <v>29</v>
      </c>
      <c r="J105" s="92"/>
      <c r="K105" s="51"/>
      <c r="L105" s="112">
        <v>4.0</v>
      </c>
      <c r="M105" s="51"/>
      <c r="N105" s="32"/>
      <c r="O105" s="32"/>
      <c r="P105" s="32"/>
      <c r="Q105" s="1"/>
      <c r="R105" s="1"/>
      <c r="S105" s="1"/>
      <c r="T105" s="1"/>
      <c r="U105" s="1"/>
      <c r="W105" s="1"/>
    </row>
    <row r="106" ht="18.0" customHeight="1">
      <c r="A106" s="90">
        <f>A105</f>
        <v>14</v>
      </c>
      <c r="B106" s="45">
        <f t="shared" si="57"/>
        <v>46372</v>
      </c>
      <c r="C106" s="46">
        <f t="shared" si="26"/>
        <v>46372</v>
      </c>
      <c r="D106" s="92"/>
      <c r="E106" s="51"/>
      <c r="F106" s="69" t="s">
        <v>29</v>
      </c>
      <c r="G106" s="92"/>
      <c r="H106" s="51"/>
      <c r="I106" s="69" t="s">
        <v>29</v>
      </c>
      <c r="J106" s="92"/>
      <c r="K106" s="120"/>
      <c r="L106" s="121"/>
      <c r="M106" s="120"/>
      <c r="N106" s="120"/>
      <c r="O106" s="121"/>
      <c r="P106" s="120"/>
      <c r="Q106" s="1"/>
      <c r="R106" s="80"/>
      <c r="S106" s="80"/>
      <c r="T106" s="1"/>
      <c r="U106" s="1"/>
      <c r="W106" s="1"/>
    </row>
    <row r="107">
      <c r="A107" s="44">
        <f>A105</f>
        <v>14</v>
      </c>
      <c r="B107" s="45">
        <f t="shared" si="57"/>
        <v>46373</v>
      </c>
      <c r="C107" s="86">
        <f t="shared" si="26"/>
        <v>46373</v>
      </c>
      <c r="D107" s="114" t="s">
        <v>69</v>
      </c>
      <c r="E107" s="51">
        <v>2.0</v>
      </c>
      <c r="F107" s="69" t="s">
        <v>29</v>
      </c>
      <c r="G107" s="51"/>
      <c r="H107" s="51">
        <v>2.0</v>
      </c>
      <c r="I107" s="69" t="s">
        <v>29</v>
      </c>
      <c r="J107" s="51"/>
      <c r="K107" s="100"/>
      <c r="L107" s="100"/>
      <c r="M107" s="100"/>
      <c r="N107" s="102"/>
      <c r="O107" s="122"/>
      <c r="P107" s="102"/>
      <c r="Q107" s="1"/>
      <c r="R107" s="80"/>
      <c r="S107" s="80"/>
      <c r="T107" s="1"/>
      <c r="U107" s="1"/>
      <c r="W107" s="1"/>
    </row>
    <row r="108">
      <c r="A108" s="44">
        <f>A105</f>
        <v>14</v>
      </c>
      <c r="B108" s="45">
        <f t="shared" si="57"/>
        <v>46374</v>
      </c>
      <c r="C108" s="46">
        <f t="shared" si="26"/>
        <v>46374</v>
      </c>
      <c r="D108" s="92"/>
      <c r="E108" s="51"/>
      <c r="F108" s="69" t="s">
        <v>29</v>
      </c>
      <c r="G108" s="92"/>
      <c r="H108" s="51"/>
      <c r="I108" s="69" t="s">
        <v>29</v>
      </c>
      <c r="J108" s="92"/>
      <c r="K108" s="123"/>
      <c r="L108" s="124" t="s">
        <v>29</v>
      </c>
      <c r="M108" s="123"/>
      <c r="N108" s="125">
        <v>0.0</v>
      </c>
      <c r="O108" s="126" t="s">
        <v>29</v>
      </c>
      <c r="P108" s="127" t="s">
        <v>70</v>
      </c>
      <c r="Q108" s="1"/>
      <c r="R108" s="80"/>
      <c r="S108" s="80"/>
      <c r="T108" s="1"/>
      <c r="U108" s="1"/>
      <c r="V108" s="1"/>
      <c r="W108" s="1"/>
    </row>
    <row r="109">
      <c r="A109" s="76">
        <f t="shared" ref="A109:A110" si="58">A105</f>
        <v>14</v>
      </c>
      <c r="B109" s="77">
        <f t="shared" si="57"/>
        <v>46375</v>
      </c>
      <c r="C109" s="78">
        <f t="shared" si="26"/>
        <v>46375</v>
      </c>
      <c r="D109" s="102"/>
      <c r="E109" s="100"/>
      <c r="F109" s="100"/>
      <c r="G109" s="118"/>
      <c r="H109" s="100"/>
      <c r="I109" s="100"/>
      <c r="J109" s="118"/>
      <c r="K109" s="100"/>
      <c r="L109" s="100"/>
      <c r="M109" s="100"/>
      <c r="N109" s="100"/>
      <c r="O109" s="100"/>
      <c r="P109" s="100"/>
      <c r="Q109" s="1"/>
      <c r="R109" s="80"/>
      <c r="S109" s="80"/>
      <c r="T109" s="1"/>
      <c r="U109" s="1"/>
      <c r="V109" s="1"/>
      <c r="W109" s="1"/>
    </row>
    <row r="110">
      <c r="A110" s="76">
        <f t="shared" si="58"/>
        <v>14</v>
      </c>
      <c r="B110" s="77">
        <f t="shared" si="57"/>
        <v>46376</v>
      </c>
      <c r="C110" s="78">
        <f t="shared" si="26"/>
        <v>46376</v>
      </c>
      <c r="D110" s="102"/>
      <c r="E110" s="100"/>
      <c r="F110" s="100"/>
      <c r="G110" s="118"/>
      <c r="H110" s="100"/>
      <c r="I110" s="100"/>
      <c r="J110" s="118"/>
      <c r="K110" s="100"/>
      <c r="L110" s="100"/>
      <c r="M110" s="100"/>
      <c r="N110" s="100"/>
      <c r="O110" s="100"/>
      <c r="P110" s="100"/>
      <c r="Q110" s="1"/>
      <c r="R110" s="80"/>
      <c r="S110" s="80"/>
      <c r="T110" s="1"/>
      <c r="U110" s="1"/>
      <c r="V110" s="1"/>
      <c r="W110" s="1"/>
    </row>
    <row r="111">
      <c r="A111" s="128"/>
      <c r="B111" s="45">
        <f t="shared" si="57"/>
        <v>46377</v>
      </c>
      <c r="C111" s="46">
        <f t="shared" si="26"/>
        <v>46377</v>
      </c>
      <c r="D111" s="102"/>
      <c r="E111" s="102"/>
      <c r="F111" s="129"/>
      <c r="G111" s="118"/>
      <c r="H111" s="102"/>
      <c r="I111" s="129"/>
      <c r="J111" s="118"/>
      <c r="K111" s="130"/>
      <c r="L111" s="100"/>
      <c r="M111" s="100"/>
      <c r="N111" s="102"/>
      <c r="O111" s="122"/>
      <c r="P111" s="102"/>
      <c r="Q111" s="1"/>
      <c r="R111" s="80"/>
      <c r="S111" s="80"/>
      <c r="T111" s="1"/>
      <c r="U111" s="1"/>
      <c r="V111" s="1"/>
      <c r="W111" s="1"/>
    </row>
    <row r="112">
      <c r="A112" s="131"/>
      <c r="B112" s="116">
        <f t="shared" si="57"/>
        <v>46378</v>
      </c>
      <c r="C112" s="117">
        <f t="shared" si="26"/>
        <v>46378</v>
      </c>
      <c r="D112" s="102"/>
      <c r="E112" s="102"/>
      <c r="F112" s="122"/>
      <c r="G112" s="102"/>
      <c r="H112" s="102"/>
      <c r="I112" s="122"/>
      <c r="J112" s="102"/>
      <c r="K112" s="102"/>
      <c r="L112" s="122"/>
      <c r="M112" s="102"/>
      <c r="N112" s="100"/>
      <c r="O112" s="100"/>
      <c r="P112" s="100"/>
      <c r="Q112" s="1"/>
      <c r="R112" s="80"/>
      <c r="S112" s="80"/>
      <c r="T112" s="1"/>
      <c r="U112" s="1"/>
      <c r="V112" s="1"/>
      <c r="W112" s="1"/>
    </row>
    <row r="113">
      <c r="A113" s="131"/>
      <c r="B113" s="116">
        <f t="shared" si="57"/>
        <v>46379</v>
      </c>
      <c r="C113" s="117">
        <f t="shared" si="26"/>
        <v>46379</v>
      </c>
      <c r="D113" s="102"/>
      <c r="E113" s="102"/>
      <c r="F113" s="122"/>
      <c r="G113" s="102"/>
      <c r="H113" s="102"/>
      <c r="I113" s="122"/>
      <c r="J113" s="102"/>
      <c r="K113" s="102"/>
      <c r="L113" s="122"/>
      <c r="M113" s="102"/>
      <c r="N113" s="102"/>
      <c r="O113" s="122"/>
      <c r="P113" s="102"/>
      <c r="Q113" s="1"/>
      <c r="R113" s="80"/>
      <c r="S113" s="80"/>
      <c r="T113" s="1"/>
      <c r="U113" s="1"/>
      <c r="V113" s="1"/>
      <c r="W113" s="1"/>
    </row>
    <row r="114">
      <c r="A114" s="131"/>
      <c r="B114" s="116">
        <f t="shared" si="57"/>
        <v>46380</v>
      </c>
      <c r="C114" s="117">
        <f t="shared" si="26"/>
        <v>46380</v>
      </c>
      <c r="D114" s="102"/>
      <c r="E114" s="100"/>
      <c r="F114" s="100"/>
      <c r="G114" s="118"/>
      <c r="H114" s="100"/>
      <c r="I114" s="100"/>
      <c r="J114" s="118"/>
      <c r="K114" s="100"/>
      <c r="L114" s="100"/>
      <c r="M114" s="100"/>
      <c r="N114" s="102"/>
      <c r="O114" s="122"/>
      <c r="P114" s="102"/>
      <c r="Q114" s="1"/>
      <c r="R114" s="1"/>
      <c r="S114" s="1"/>
      <c r="T114" s="1"/>
      <c r="U114" s="1"/>
      <c r="V114" s="1"/>
      <c r="W114" s="1"/>
    </row>
    <row r="115">
      <c r="A115" s="131"/>
      <c r="B115" s="116">
        <f t="shared" si="57"/>
        <v>46381</v>
      </c>
      <c r="C115" s="117">
        <f t="shared" si="26"/>
        <v>46381</v>
      </c>
      <c r="D115" s="102"/>
      <c r="E115" s="102"/>
      <c r="F115" s="122"/>
      <c r="G115" s="102"/>
      <c r="H115" s="102"/>
      <c r="I115" s="122"/>
      <c r="J115" s="102"/>
      <c r="K115" s="102"/>
      <c r="L115" s="122"/>
      <c r="M115" s="132"/>
      <c r="N115" s="100"/>
      <c r="O115" s="100"/>
      <c r="P115" s="100"/>
      <c r="Q115" s="1"/>
      <c r="R115" s="1"/>
      <c r="S115" s="1"/>
      <c r="T115" s="1"/>
      <c r="U115" s="1"/>
      <c r="V115" s="1"/>
      <c r="W115" s="1"/>
    </row>
    <row r="116">
      <c r="A116" s="131"/>
      <c r="B116" s="116">
        <f t="shared" si="57"/>
        <v>46382</v>
      </c>
      <c r="C116" s="117">
        <f t="shared" si="26"/>
        <v>46382</v>
      </c>
      <c r="D116" s="102"/>
      <c r="E116" s="100"/>
      <c r="F116" s="100"/>
      <c r="G116" s="118"/>
      <c r="H116" s="100"/>
      <c r="I116" s="100"/>
      <c r="J116" s="118"/>
      <c r="K116" s="100"/>
      <c r="L116" s="100"/>
      <c r="M116" s="100"/>
      <c r="N116" s="100"/>
      <c r="O116" s="100"/>
      <c r="P116" s="100"/>
      <c r="Q116" s="1"/>
      <c r="R116" s="1"/>
      <c r="S116" s="1"/>
      <c r="T116" s="1"/>
      <c r="U116" s="1"/>
      <c r="V116" s="1"/>
      <c r="W116" s="1"/>
    </row>
    <row r="117">
      <c r="A117" s="131"/>
      <c r="B117" s="116">
        <f t="shared" si="57"/>
        <v>46383</v>
      </c>
      <c r="C117" s="117">
        <f t="shared" si="26"/>
        <v>46383</v>
      </c>
      <c r="D117" s="102"/>
      <c r="E117" s="100"/>
      <c r="F117" s="100"/>
      <c r="G117" s="118"/>
      <c r="H117" s="100"/>
      <c r="I117" s="100"/>
      <c r="J117" s="118"/>
      <c r="K117" s="100"/>
      <c r="L117" s="100"/>
      <c r="M117" s="100"/>
      <c r="N117" s="100"/>
      <c r="O117" s="100"/>
      <c r="P117" s="100"/>
      <c r="Q117" s="1"/>
      <c r="R117" s="1"/>
      <c r="S117" s="1"/>
      <c r="T117" s="1"/>
      <c r="U117" s="1"/>
      <c r="V117" s="1"/>
      <c r="W117" s="1"/>
    </row>
    <row r="118">
      <c r="A118" s="131"/>
      <c r="B118" s="116">
        <f t="shared" si="57"/>
        <v>46384</v>
      </c>
      <c r="C118" s="117">
        <f t="shared" si="26"/>
        <v>46384</v>
      </c>
      <c r="D118" s="102"/>
      <c r="E118" s="130"/>
      <c r="F118" s="122"/>
      <c r="G118" s="102"/>
      <c r="H118" s="130"/>
      <c r="I118" s="122"/>
      <c r="J118" s="102"/>
      <c r="K118" s="133"/>
      <c r="L118" s="122"/>
      <c r="M118" s="129"/>
      <c r="N118" s="133"/>
      <c r="O118" s="122"/>
      <c r="P118" s="100"/>
      <c r="Q118" s="1"/>
      <c r="R118" s="1"/>
      <c r="S118" s="1"/>
      <c r="T118" s="1"/>
      <c r="U118" s="1"/>
      <c r="V118" s="1"/>
      <c r="W118" s="1"/>
    </row>
    <row r="119">
      <c r="A119" s="131"/>
      <c r="B119" s="116">
        <f t="shared" si="57"/>
        <v>46385</v>
      </c>
      <c r="C119" s="117">
        <f t="shared" si="26"/>
        <v>46385</v>
      </c>
      <c r="D119" s="102"/>
      <c r="E119" s="102"/>
      <c r="F119" s="122"/>
      <c r="G119" s="102"/>
      <c r="H119" s="102"/>
      <c r="I119" s="122"/>
      <c r="J119" s="102"/>
      <c r="K119" s="133"/>
      <c r="L119" s="122"/>
      <c r="M119" s="129"/>
      <c r="N119" s="129"/>
      <c r="O119" s="122"/>
      <c r="P119" s="102"/>
      <c r="Q119" s="1"/>
      <c r="R119" s="1"/>
      <c r="S119" s="1"/>
      <c r="T119" s="1"/>
      <c r="U119" s="1"/>
      <c r="V119" s="1"/>
      <c r="W119" s="1"/>
    </row>
    <row r="120">
      <c r="A120" s="131"/>
      <c r="B120" s="116">
        <f t="shared" si="57"/>
        <v>46386</v>
      </c>
      <c r="C120" s="117">
        <f t="shared" si="26"/>
        <v>46386</v>
      </c>
      <c r="D120" s="102"/>
      <c r="E120" s="102"/>
      <c r="F120" s="122"/>
      <c r="G120" s="102"/>
      <c r="H120" s="102"/>
      <c r="I120" s="122"/>
      <c r="J120" s="102"/>
      <c r="K120" s="134"/>
      <c r="L120" s="122"/>
      <c r="M120" s="102"/>
      <c r="N120" s="100"/>
      <c r="O120" s="122"/>
      <c r="P120" s="100"/>
      <c r="Q120" s="1"/>
      <c r="R120" s="1"/>
      <c r="S120" s="1"/>
      <c r="T120" s="1"/>
      <c r="U120" s="1"/>
      <c r="V120" s="1"/>
      <c r="W120" s="1"/>
    </row>
    <row r="121">
      <c r="A121" s="131"/>
      <c r="B121" s="116">
        <f t="shared" si="57"/>
        <v>46387</v>
      </c>
      <c r="C121" s="117">
        <f t="shared" si="26"/>
        <v>46387</v>
      </c>
      <c r="D121" s="102"/>
      <c r="E121" s="135"/>
      <c r="F121" s="122"/>
      <c r="G121" s="102"/>
      <c r="H121" s="135"/>
      <c r="I121" s="122"/>
      <c r="J121" s="102"/>
      <c r="K121" s="130"/>
      <c r="L121" s="122"/>
      <c r="M121" s="130"/>
      <c r="N121" s="130"/>
      <c r="O121" s="122"/>
      <c r="P121" s="130"/>
      <c r="Q121" s="1"/>
      <c r="R121" s="136"/>
      <c r="S121" s="136" t="s">
        <v>71</v>
      </c>
      <c r="T121" s="80" t="s">
        <v>72</v>
      </c>
      <c r="U121" s="1"/>
      <c r="V121" s="1"/>
      <c r="W121" s="1"/>
    </row>
    <row r="122">
      <c r="A122" s="131"/>
      <c r="B122" s="116">
        <f t="shared" si="57"/>
        <v>46388</v>
      </c>
      <c r="C122" s="117">
        <f t="shared" si="26"/>
        <v>46388</v>
      </c>
      <c r="D122" s="102"/>
      <c r="E122" s="102"/>
      <c r="F122" s="122"/>
      <c r="G122" s="102"/>
      <c r="H122" s="102"/>
      <c r="I122" s="122"/>
      <c r="J122" s="102"/>
      <c r="K122" s="102"/>
      <c r="L122" s="122"/>
      <c r="M122" s="102"/>
      <c r="N122" s="102"/>
      <c r="O122" s="122"/>
      <c r="P122" s="102"/>
      <c r="Q122" s="1"/>
      <c r="R122" s="136"/>
      <c r="S122" s="136" t="s">
        <v>73</v>
      </c>
      <c r="T122" s="1"/>
      <c r="U122" s="1"/>
      <c r="V122" s="1"/>
      <c r="W122" s="1"/>
    </row>
    <row r="123">
      <c r="A123" s="131"/>
      <c r="B123" s="116">
        <f t="shared" si="57"/>
        <v>46389</v>
      </c>
      <c r="C123" s="117">
        <f t="shared" si="26"/>
        <v>46389</v>
      </c>
      <c r="D123" s="102"/>
      <c r="E123" s="102"/>
      <c r="F123" s="122"/>
      <c r="G123" s="102"/>
      <c r="H123" s="102"/>
      <c r="I123" s="122"/>
      <c r="J123" s="102"/>
      <c r="K123" s="102"/>
      <c r="L123" s="122"/>
      <c r="M123" s="102"/>
      <c r="N123" s="102"/>
      <c r="O123" s="122"/>
      <c r="P123" s="102"/>
      <c r="Q123" s="1"/>
      <c r="R123" s="136"/>
      <c r="S123" s="136" t="s">
        <v>74</v>
      </c>
      <c r="T123" s="1"/>
      <c r="U123" s="1"/>
      <c r="V123" s="1"/>
      <c r="W123" s="1"/>
    </row>
    <row r="124">
      <c r="A124" s="131"/>
      <c r="B124" s="116">
        <f t="shared" si="57"/>
        <v>46390</v>
      </c>
      <c r="C124" s="117">
        <f t="shared" si="26"/>
        <v>46390</v>
      </c>
      <c r="D124" s="102"/>
      <c r="E124" s="102"/>
      <c r="F124" s="122"/>
      <c r="G124" s="137"/>
      <c r="H124" s="102"/>
      <c r="I124" s="122"/>
      <c r="J124" s="137"/>
      <c r="K124" s="130"/>
      <c r="L124" s="122"/>
      <c r="M124" s="102"/>
      <c r="N124" s="130"/>
      <c r="O124" s="122"/>
      <c r="P124" s="138"/>
      <c r="Q124" s="1"/>
      <c r="R124" s="136"/>
      <c r="S124" s="136" t="s">
        <v>75</v>
      </c>
      <c r="T124" s="1"/>
      <c r="U124" s="1"/>
      <c r="V124" s="1"/>
      <c r="W124" s="1"/>
    </row>
    <row r="125">
      <c r="A125" s="139"/>
      <c r="B125" s="116">
        <f t="shared" si="57"/>
        <v>46391</v>
      </c>
      <c r="C125" s="117">
        <f t="shared" si="26"/>
        <v>46391</v>
      </c>
      <c r="D125" s="102"/>
      <c r="E125" s="102"/>
      <c r="F125" s="122"/>
      <c r="G125" s="137"/>
      <c r="H125" s="102"/>
      <c r="I125" s="122"/>
      <c r="J125" s="137"/>
      <c r="K125" s="140"/>
      <c r="L125" s="141"/>
      <c r="M125" s="141"/>
      <c r="N125" s="142"/>
      <c r="O125" s="143"/>
      <c r="P125" s="142"/>
      <c r="Q125" s="1"/>
      <c r="R125" s="1"/>
      <c r="S125" s="1"/>
      <c r="T125" s="1"/>
      <c r="U125" s="1"/>
      <c r="V125" s="1"/>
      <c r="W125" s="1"/>
    </row>
    <row r="126">
      <c r="A126" s="139"/>
      <c r="B126" s="116">
        <f t="shared" si="57"/>
        <v>46392</v>
      </c>
      <c r="C126" s="117">
        <f t="shared" si="26"/>
        <v>46392</v>
      </c>
      <c r="D126" s="102"/>
      <c r="E126" s="102"/>
      <c r="F126" s="122"/>
      <c r="G126" s="137"/>
      <c r="H126" s="102"/>
      <c r="I126" s="122"/>
      <c r="J126" s="137"/>
      <c r="K126" s="51"/>
      <c r="L126" s="112">
        <v>4.0</v>
      </c>
      <c r="M126" s="51"/>
      <c r="N126" s="32"/>
      <c r="O126" s="32"/>
      <c r="P126" s="32"/>
      <c r="Q126" s="1"/>
      <c r="R126" s="1"/>
      <c r="S126" s="1"/>
      <c r="T126" s="1"/>
      <c r="U126" s="1"/>
      <c r="V126" s="1"/>
      <c r="W126" s="1"/>
    </row>
    <row r="127">
      <c r="A127" s="139"/>
      <c r="B127" s="116">
        <f t="shared" si="57"/>
        <v>46393</v>
      </c>
      <c r="C127" s="117">
        <f t="shared" si="26"/>
        <v>46393</v>
      </c>
      <c r="D127" s="102"/>
      <c r="E127" s="102"/>
      <c r="F127" s="122"/>
      <c r="G127" s="137"/>
      <c r="H127" s="102"/>
      <c r="I127" s="122"/>
      <c r="J127" s="137"/>
      <c r="K127" s="51"/>
      <c r="L127" s="112">
        <v>4.0</v>
      </c>
      <c r="M127" s="51"/>
      <c r="N127" s="51">
        <v>2.0</v>
      </c>
      <c r="O127" s="112">
        <v>4.0</v>
      </c>
      <c r="P127" s="51"/>
      <c r="Q127" s="1"/>
      <c r="R127" s="1"/>
      <c r="S127" s="1"/>
      <c r="T127" s="1"/>
      <c r="U127" s="1"/>
      <c r="V127" s="1"/>
      <c r="W127" s="1"/>
    </row>
    <row r="128" ht="39.0" customHeight="1">
      <c r="A128" s="131" t="str">
        <f>A126</f>
        <v/>
      </c>
      <c r="B128" s="116">
        <f t="shared" si="57"/>
        <v>46394</v>
      </c>
      <c r="C128" s="117">
        <f t="shared" si="26"/>
        <v>46394</v>
      </c>
      <c r="D128" s="102" t="s">
        <v>76</v>
      </c>
      <c r="E128" s="102"/>
      <c r="F128" s="102"/>
      <c r="G128" s="102"/>
      <c r="H128" s="102"/>
      <c r="I128" s="102"/>
      <c r="J128" s="102"/>
      <c r="K128" s="32"/>
      <c r="L128" s="32"/>
      <c r="M128" s="32"/>
      <c r="N128" s="51">
        <v>2.0</v>
      </c>
      <c r="O128" s="112">
        <v>4.0</v>
      </c>
      <c r="P128" s="51"/>
      <c r="Q128" s="1"/>
      <c r="R128" s="1"/>
      <c r="S128" s="1"/>
      <c r="T128" s="1"/>
      <c r="U128" s="1"/>
      <c r="V128" s="1"/>
      <c r="W128" s="1"/>
    </row>
    <row r="129">
      <c r="A129" s="128"/>
      <c r="B129" s="45">
        <f t="shared" si="57"/>
        <v>46395</v>
      </c>
      <c r="C129" s="46">
        <f t="shared" si="26"/>
        <v>46395</v>
      </c>
      <c r="D129" s="51" t="s">
        <v>77</v>
      </c>
      <c r="E129" s="51"/>
      <c r="F129" s="39">
        <v>3.0</v>
      </c>
      <c r="G129" s="51"/>
      <c r="H129" s="51"/>
      <c r="I129" s="39">
        <v>3.0</v>
      </c>
      <c r="J129" s="51"/>
      <c r="K129" s="51"/>
      <c r="L129" s="112">
        <v>4.0</v>
      </c>
      <c r="M129" s="68"/>
      <c r="N129" s="32"/>
      <c r="O129" s="32"/>
      <c r="P129" s="32"/>
      <c r="Q129" s="1"/>
      <c r="R129" s="1"/>
      <c r="S129" s="1"/>
      <c r="T129" s="1"/>
      <c r="U129" s="1"/>
      <c r="V129" s="1"/>
      <c r="W129" s="1"/>
    </row>
    <row r="130">
      <c r="A130" s="107">
        <v>14.0</v>
      </c>
      <c r="B130" s="108">
        <f t="shared" si="57"/>
        <v>46396</v>
      </c>
      <c r="C130" s="109">
        <f t="shared" si="26"/>
        <v>46396</v>
      </c>
      <c r="D130" s="79"/>
      <c r="E130" s="32"/>
      <c r="F130" s="39">
        <v>3.0</v>
      </c>
      <c r="G130" s="38"/>
      <c r="H130" s="32"/>
      <c r="I130" s="39">
        <v>3.0</v>
      </c>
      <c r="J130" s="38"/>
      <c r="K130" s="32"/>
      <c r="L130" s="32"/>
      <c r="M130" s="32"/>
      <c r="N130" s="32"/>
      <c r="O130" s="32"/>
      <c r="P130" s="32"/>
      <c r="Q130" s="1"/>
      <c r="R130" s="1"/>
      <c r="S130" s="1"/>
      <c r="T130" s="1"/>
      <c r="U130" s="1"/>
      <c r="V130" s="1"/>
      <c r="W130" s="1"/>
    </row>
    <row r="131">
      <c r="A131" s="144">
        <f>A130</f>
        <v>14</v>
      </c>
      <c r="B131" s="108">
        <f t="shared" si="57"/>
        <v>46397</v>
      </c>
      <c r="C131" s="109">
        <f t="shared" si="26"/>
        <v>46397</v>
      </c>
      <c r="D131" s="79"/>
      <c r="E131" s="32"/>
      <c r="F131" s="39">
        <v>3.0</v>
      </c>
      <c r="G131" s="38"/>
      <c r="H131" s="32"/>
      <c r="I131" s="39">
        <v>3.0</v>
      </c>
      <c r="J131" s="38"/>
      <c r="K131" s="32"/>
      <c r="L131" s="32"/>
      <c r="M131" s="32"/>
      <c r="N131" s="32"/>
      <c r="O131" s="32"/>
      <c r="P131" s="32"/>
      <c r="Q131" s="1"/>
      <c r="R131" s="1"/>
      <c r="S131" s="1"/>
      <c r="T131" s="1"/>
      <c r="U131" s="1"/>
      <c r="V131" s="1"/>
      <c r="W131" s="1"/>
    </row>
    <row r="132">
      <c r="A132" s="90">
        <f t="shared" ref="A132:B132" si="59">A131+1</f>
        <v>15</v>
      </c>
      <c r="B132" s="45">
        <f t="shared" si="59"/>
        <v>46398</v>
      </c>
      <c r="C132" s="46">
        <f t="shared" si="26"/>
        <v>46398</v>
      </c>
      <c r="D132" s="94"/>
      <c r="E132" s="51">
        <v>1.0</v>
      </c>
      <c r="F132" s="39">
        <v>3.0</v>
      </c>
      <c r="G132" s="51"/>
      <c r="H132" s="51">
        <v>1.0</v>
      </c>
      <c r="I132" s="39">
        <v>3.0</v>
      </c>
      <c r="J132" s="51"/>
      <c r="K132" s="85"/>
      <c r="L132" s="32"/>
      <c r="M132" s="32"/>
      <c r="N132" s="51">
        <v>1.0</v>
      </c>
      <c r="O132" s="112">
        <v>4.0</v>
      </c>
      <c r="P132" s="51"/>
      <c r="Q132" s="1"/>
      <c r="R132" s="1"/>
      <c r="S132" s="1"/>
      <c r="T132" s="1"/>
      <c r="U132" s="1"/>
      <c r="V132" s="1"/>
      <c r="W132" s="1"/>
    </row>
    <row r="133">
      <c r="A133" s="90">
        <f t="shared" ref="A133:A134" si="60">A132</f>
        <v>15</v>
      </c>
      <c r="B133" s="45">
        <f t="shared" ref="B133:B138" si="61">B132+1</f>
        <v>46399</v>
      </c>
      <c r="C133" s="86">
        <f t="shared" si="26"/>
        <v>46399</v>
      </c>
      <c r="D133" s="94"/>
      <c r="E133" s="51">
        <v>1.0</v>
      </c>
      <c r="F133" s="39">
        <v>3.0</v>
      </c>
      <c r="G133" s="92"/>
      <c r="H133" s="51">
        <v>1.0</v>
      </c>
      <c r="I133" s="39">
        <v>3.0</v>
      </c>
      <c r="J133" s="92"/>
      <c r="K133" s="51"/>
      <c r="L133" s="112">
        <v>4.0</v>
      </c>
      <c r="M133" s="51"/>
      <c r="N133" s="32"/>
      <c r="O133" s="32"/>
      <c r="P133" s="32"/>
      <c r="Q133" s="1"/>
      <c r="R133" s="1"/>
      <c r="S133" s="1"/>
      <c r="T133" s="1"/>
      <c r="U133" s="1"/>
      <c r="V133" s="1"/>
      <c r="W133" s="1"/>
    </row>
    <row r="134">
      <c r="A134" s="90">
        <f t="shared" si="60"/>
        <v>15</v>
      </c>
      <c r="B134" s="45">
        <f t="shared" si="61"/>
        <v>46400</v>
      </c>
      <c r="C134" s="46">
        <f t="shared" si="26"/>
        <v>46400</v>
      </c>
      <c r="D134" s="89"/>
      <c r="E134" s="51"/>
      <c r="F134" s="39">
        <v>3.0</v>
      </c>
      <c r="G134" s="92"/>
      <c r="H134" s="51"/>
      <c r="I134" s="39">
        <v>3.0</v>
      </c>
      <c r="J134" s="92"/>
      <c r="K134" s="51"/>
      <c r="L134" s="112">
        <v>4.0</v>
      </c>
      <c r="M134" s="99" t="s">
        <v>78</v>
      </c>
      <c r="N134" s="51">
        <v>2.0</v>
      </c>
      <c r="O134" s="112">
        <v>4.0</v>
      </c>
      <c r="P134" s="99" t="s">
        <v>78</v>
      </c>
      <c r="Q134" s="1"/>
      <c r="R134" s="1"/>
      <c r="S134" s="1"/>
      <c r="T134" s="1"/>
      <c r="U134" s="1"/>
      <c r="V134" s="1"/>
      <c r="W134" s="1"/>
    </row>
    <row r="135">
      <c r="A135" s="90">
        <f>A133</f>
        <v>15</v>
      </c>
      <c r="B135" s="45">
        <f t="shared" si="61"/>
        <v>46401</v>
      </c>
      <c r="C135" s="86">
        <f t="shared" si="26"/>
        <v>46401</v>
      </c>
      <c r="D135" s="89"/>
      <c r="E135" s="51">
        <v>2.0</v>
      </c>
      <c r="F135" s="39">
        <v>3.0</v>
      </c>
      <c r="G135" s="51"/>
      <c r="H135" s="51">
        <v>2.0</v>
      </c>
      <c r="I135" s="39">
        <v>3.0</v>
      </c>
      <c r="J135" s="51"/>
      <c r="K135" s="32"/>
      <c r="L135" s="32"/>
      <c r="M135" s="32"/>
      <c r="N135" s="51">
        <v>2.0</v>
      </c>
      <c r="O135" s="112">
        <v>5.0</v>
      </c>
      <c r="P135" s="51"/>
      <c r="Q135" s="1"/>
      <c r="R135" s="1"/>
      <c r="S135" s="1"/>
      <c r="T135" s="1"/>
      <c r="U135" s="1"/>
      <c r="V135" s="1"/>
      <c r="W135" s="1"/>
    </row>
    <row r="136">
      <c r="A136" s="90">
        <f>A133</f>
        <v>15</v>
      </c>
      <c r="B136" s="45">
        <f t="shared" si="61"/>
        <v>46402</v>
      </c>
      <c r="C136" s="46">
        <f t="shared" si="26"/>
        <v>46402</v>
      </c>
      <c r="D136" s="89"/>
      <c r="E136" s="51"/>
      <c r="F136" s="39">
        <v>3.0</v>
      </c>
      <c r="G136" s="92"/>
      <c r="H136" s="51"/>
      <c r="I136" s="39">
        <v>3.0</v>
      </c>
      <c r="J136" s="92"/>
      <c r="K136" s="51"/>
      <c r="L136" s="112">
        <v>5.0</v>
      </c>
      <c r="M136" s="51"/>
      <c r="N136" s="32"/>
      <c r="O136" s="32"/>
      <c r="P136" s="32"/>
      <c r="Q136" s="1"/>
      <c r="R136" s="1"/>
      <c r="S136" s="1"/>
      <c r="T136" s="1"/>
      <c r="U136" s="1"/>
      <c r="V136" s="1"/>
      <c r="W136" s="1"/>
    </row>
    <row r="137">
      <c r="A137" s="95">
        <f t="shared" ref="A137:A138" si="62">A133</f>
        <v>15</v>
      </c>
      <c r="B137" s="77">
        <f t="shared" si="61"/>
        <v>46403</v>
      </c>
      <c r="C137" s="78">
        <f t="shared" si="26"/>
        <v>46403</v>
      </c>
      <c r="D137" s="79"/>
      <c r="E137" s="32"/>
      <c r="F137" s="39">
        <v>3.0</v>
      </c>
      <c r="G137" s="79"/>
      <c r="H137" s="32"/>
      <c r="I137" s="39">
        <v>3.0</v>
      </c>
      <c r="J137" s="79"/>
      <c r="K137" s="32"/>
      <c r="L137" s="32"/>
      <c r="M137" s="32"/>
      <c r="N137" s="32"/>
      <c r="O137" s="32"/>
      <c r="P137" s="32"/>
      <c r="Q137" s="1"/>
      <c r="R137" s="1"/>
      <c r="S137" s="1"/>
      <c r="T137" s="1"/>
      <c r="U137" s="1"/>
      <c r="V137" s="1"/>
      <c r="W137" s="1"/>
    </row>
    <row r="138">
      <c r="A138" s="107">
        <f t="shared" si="62"/>
        <v>15</v>
      </c>
      <c r="B138" s="108">
        <f t="shared" si="61"/>
        <v>46404</v>
      </c>
      <c r="C138" s="109">
        <f t="shared" si="26"/>
        <v>46404</v>
      </c>
      <c r="D138" s="79"/>
      <c r="E138" s="32"/>
      <c r="F138" s="39">
        <v>3.0</v>
      </c>
      <c r="G138" s="79"/>
      <c r="H138" s="32"/>
      <c r="I138" s="39">
        <v>3.0</v>
      </c>
      <c r="J138" s="79"/>
      <c r="K138" s="32"/>
      <c r="L138" s="32"/>
      <c r="M138" s="32"/>
      <c r="N138" s="32"/>
      <c r="O138" s="32"/>
      <c r="P138" s="32"/>
      <c r="Q138" s="1"/>
      <c r="R138" s="1"/>
      <c r="S138" s="1"/>
      <c r="T138" s="1"/>
      <c r="U138" s="1"/>
      <c r="V138" s="1"/>
      <c r="W138" s="1"/>
    </row>
    <row r="139">
      <c r="A139" s="90">
        <f t="shared" ref="A139:B139" si="63">A138+1</f>
        <v>16</v>
      </c>
      <c r="B139" s="45">
        <f t="shared" si="63"/>
        <v>46405</v>
      </c>
      <c r="C139" s="46">
        <f t="shared" si="26"/>
        <v>46405</v>
      </c>
      <c r="D139" s="89"/>
      <c r="E139" s="51">
        <v>1.0</v>
      </c>
      <c r="F139" s="39">
        <v>3.0</v>
      </c>
      <c r="G139" s="89"/>
      <c r="H139" s="51">
        <v>1.0</v>
      </c>
      <c r="I139" s="39">
        <v>3.0</v>
      </c>
      <c r="J139" s="89"/>
      <c r="K139" s="51"/>
      <c r="L139" s="32"/>
      <c r="M139" s="32"/>
      <c r="N139" s="51">
        <v>1.0</v>
      </c>
      <c r="O139" s="112">
        <v>5.0</v>
      </c>
      <c r="P139" s="51"/>
      <c r="Q139" s="1"/>
      <c r="R139" s="1"/>
      <c r="S139" s="1"/>
      <c r="T139" s="1"/>
      <c r="U139" s="1"/>
      <c r="V139" s="1"/>
      <c r="W139" s="1"/>
    </row>
    <row r="140">
      <c r="A140" s="90">
        <f>A135+1</f>
        <v>16</v>
      </c>
      <c r="B140" s="45">
        <f t="shared" ref="B140:B145" si="64">B139+1</f>
        <v>46406</v>
      </c>
      <c r="C140" s="86">
        <f t="shared" si="26"/>
        <v>46406</v>
      </c>
      <c r="D140" s="89"/>
      <c r="E140" s="51">
        <v>1.0</v>
      </c>
      <c r="F140" s="39">
        <v>3.0</v>
      </c>
      <c r="G140" s="89"/>
      <c r="H140" s="51">
        <v>1.0</v>
      </c>
      <c r="I140" s="145">
        <v>3.0</v>
      </c>
      <c r="J140" s="89"/>
      <c r="K140" s="51"/>
      <c r="L140" s="112">
        <v>5.0</v>
      </c>
      <c r="M140" s="51"/>
      <c r="N140" s="32"/>
      <c r="O140" s="32"/>
      <c r="P140" s="32"/>
      <c r="Q140" s="1"/>
      <c r="R140" s="1"/>
      <c r="S140" s="1"/>
      <c r="T140" s="1"/>
      <c r="U140" s="1"/>
      <c r="V140" s="1"/>
      <c r="W140" s="1"/>
    </row>
    <row r="141">
      <c r="A141" s="90">
        <f>A140</f>
        <v>16</v>
      </c>
      <c r="B141" s="45">
        <f t="shared" si="64"/>
        <v>46407</v>
      </c>
      <c r="C141" s="46">
        <f t="shared" si="26"/>
        <v>46407</v>
      </c>
      <c r="D141" s="89"/>
      <c r="E141" s="51"/>
      <c r="F141" s="39">
        <v>3.0</v>
      </c>
      <c r="G141" s="89"/>
      <c r="H141" s="51"/>
      <c r="I141" s="145">
        <v>3.0</v>
      </c>
      <c r="J141" s="89"/>
      <c r="K141" s="51"/>
      <c r="L141" s="112">
        <v>5.0</v>
      </c>
      <c r="M141" s="51"/>
      <c r="N141" s="51">
        <v>2.0</v>
      </c>
      <c r="O141" s="112">
        <v>5.0</v>
      </c>
      <c r="P141" s="51"/>
      <c r="Q141" s="1"/>
      <c r="R141" s="1"/>
      <c r="S141" s="1"/>
      <c r="T141" s="1"/>
      <c r="U141" s="1"/>
      <c r="V141" s="1"/>
      <c r="W141" s="1"/>
    </row>
    <row r="142">
      <c r="A142" s="90">
        <f>A140</f>
        <v>16</v>
      </c>
      <c r="B142" s="45">
        <f t="shared" si="64"/>
        <v>46408</v>
      </c>
      <c r="C142" s="86">
        <f t="shared" si="26"/>
        <v>46408</v>
      </c>
      <c r="D142" s="89"/>
      <c r="E142" s="51">
        <v>2.0</v>
      </c>
      <c r="F142" s="39">
        <v>3.0</v>
      </c>
      <c r="G142" s="89"/>
      <c r="H142" s="51">
        <v>2.0</v>
      </c>
      <c r="I142" s="145">
        <v>3.0</v>
      </c>
      <c r="J142" s="89"/>
      <c r="K142" s="51"/>
      <c r="L142" s="32"/>
      <c r="M142" s="32"/>
      <c r="N142" s="51">
        <v>2.0</v>
      </c>
      <c r="O142" s="112">
        <v>5.0</v>
      </c>
      <c r="P142" s="51"/>
      <c r="Q142" s="1"/>
      <c r="R142" s="1"/>
      <c r="S142" s="1"/>
      <c r="T142" s="1"/>
      <c r="U142" s="1"/>
      <c r="V142" s="1"/>
      <c r="W142" s="1"/>
    </row>
    <row r="143">
      <c r="A143" s="90">
        <f>A140</f>
        <v>16</v>
      </c>
      <c r="B143" s="45">
        <f t="shared" si="64"/>
        <v>46409</v>
      </c>
      <c r="C143" s="46">
        <f t="shared" si="26"/>
        <v>46409</v>
      </c>
      <c r="D143" s="89"/>
      <c r="E143" s="51"/>
      <c r="F143" s="39">
        <v>3.0</v>
      </c>
      <c r="G143" s="89"/>
      <c r="H143" s="51"/>
      <c r="I143" s="145">
        <v>3.0</v>
      </c>
      <c r="J143" s="89"/>
      <c r="K143" s="51"/>
      <c r="L143" s="112">
        <v>5.0</v>
      </c>
      <c r="M143" s="68"/>
      <c r="N143" s="32"/>
      <c r="O143" s="32"/>
      <c r="P143" s="32"/>
      <c r="Q143" s="1"/>
      <c r="R143" s="1"/>
      <c r="S143" s="1"/>
      <c r="T143" s="1"/>
      <c r="U143" s="1"/>
      <c r="V143" s="1"/>
      <c r="W143" s="1"/>
    </row>
    <row r="144">
      <c r="A144" s="95">
        <f t="shared" ref="A144:A145" si="65">A140</f>
        <v>16</v>
      </c>
      <c r="B144" s="77">
        <f t="shared" si="64"/>
        <v>46410</v>
      </c>
      <c r="C144" s="78">
        <f t="shared" si="26"/>
        <v>46410</v>
      </c>
      <c r="D144" s="79"/>
      <c r="E144" s="31"/>
      <c r="F144" s="53">
        <v>5.0</v>
      </c>
      <c r="G144" s="38"/>
      <c r="H144" s="31"/>
      <c r="I144" s="53">
        <v>5.0</v>
      </c>
      <c r="J144" s="38"/>
      <c r="K144" s="32"/>
      <c r="L144" s="32"/>
      <c r="M144" s="32"/>
      <c r="N144" s="32"/>
      <c r="O144" s="32"/>
      <c r="P144" s="32"/>
      <c r="Q144" s="1"/>
      <c r="R144" s="1"/>
      <c r="S144" s="1"/>
      <c r="T144" s="1"/>
      <c r="U144" s="1"/>
      <c r="V144" s="1"/>
      <c r="W144" s="1"/>
    </row>
    <row r="145">
      <c r="A145" s="107">
        <f t="shared" si="65"/>
        <v>16</v>
      </c>
      <c r="B145" s="108">
        <f t="shared" si="64"/>
        <v>46411</v>
      </c>
      <c r="C145" s="109">
        <f t="shared" si="26"/>
        <v>46411</v>
      </c>
      <c r="D145" s="79"/>
      <c r="E145" s="31"/>
      <c r="F145" s="53">
        <v>5.0</v>
      </c>
      <c r="G145" s="38"/>
      <c r="H145" s="31"/>
      <c r="I145" s="53">
        <v>5.0</v>
      </c>
      <c r="J145" s="38"/>
      <c r="K145" s="32"/>
      <c r="L145" s="32"/>
      <c r="M145" s="32"/>
      <c r="N145" s="32"/>
      <c r="O145" s="32"/>
      <c r="P145" s="32"/>
      <c r="Q145" s="1"/>
      <c r="R145" s="1"/>
      <c r="S145" s="1"/>
      <c r="T145" s="1"/>
      <c r="U145" s="1"/>
      <c r="V145" s="1"/>
      <c r="W145" s="1"/>
    </row>
    <row r="146">
      <c r="A146" s="90">
        <f t="shared" ref="A146:B146" si="66">A145+1</f>
        <v>17</v>
      </c>
      <c r="B146" s="45">
        <f t="shared" si="66"/>
        <v>46412</v>
      </c>
      <c r="C146" s="46">
        <f t="shared" si="26"/>
        <v>46412</v>
      </c>
      <c r="D146" s="94" t="s">
        <v>79</v>
      </c>
      <c r="E146" s="51">
        <v>1.0</v>
      </c>
      <c r="F146" s="53">
        <v>5.0</v>
      </c>
      <c r="G146" s="51"/>
      <c r="H146" s="51">
        <v>1.0</v>
      </c>
      <c r="I146" s="53">
        <v>5.0</v>
      </c>
      <c r="J146" s="51"/>
      <c r="K146" s="85"/>
      <c r="L146" s="32"/>
      <c r="M146" s="32"/>
      <c r="N146" s="51">
        <v>1.0</v>
      </c>
      <c r="O146" s="112">
        <v>5.0</v>
      </c>
      <c r="P146" s="51"/>
      <c r="Q146" s="1"/>
      <c r="R146" s="1"/>
      <c r="S146" s="1"/>
      <c r="T146" s="1"/>
      <c r="U146" s="1"/>
      <c r="V146" s="1"/>
      <c r="W146" s="1"/>
    </row>
    <row r="147">
      <c r="A147" s="90">
        <f>A142+1</f>
        <v>17</v>
      </c>
      <c r="B147" s="45">
        <f t="shared" ref="B147:B152" si="67">B146+1</f>
        <v>46413</v>
      </c>
      <c r="C147" s="86">
        <f t="shared" si="26"/>
        <v>46413</v>
      </c>
      <c r="D147" s="94"/>
      <c r="E147" s="51">
        <v>1.0</v>
      </c>
      <c r="F147" s="53">
        <v>5.0</v>
      </c>
      <c r="G147" s="92"/>
      <c r="H147" s="51">
        <v>1.0</v>
      </c>
      <c r="I147" s="53">
        <v>5.0</v>
      </c>
      <c r="J147" s="92"/>
      <c r="K147" s="51"/>
      <c r="L147" s="112">
        <v>5.0</v>
      </c>
      <c r="M147" s="51"/>
      <c r="N147" s="32"/>
      <c r="O147" s="32"/>
      <c r="P147" s="32"/>
      <c r="Q147" s="1"/>
      <c r="R147" s="1"/>
      <c r="S147" s="1"/>
      <c r="T147" s="1"/>
      <c r="U147" s="1"/>
      <c r="V147" s="1"/>
      <c r="W147" s="1"/>
    </row>
    <row r="148">
      <c r="A148" s="90">
        <f>A147</f>
        <v>17</v>
      </c>
      <c r="B148" s="45">
        <f t="shared" si="67"/>
        <v>46414</v>
      </c>
      <c r="C148" s="46">
        <f t="shared" si="26"/>
        <v>46414</v>
      </c>
      <c r="D148" s="94"/>
      <c r="E148" s="51"/>
      <c r="F148" s="53">
        <v>5.0</v>
      </c>
      <c r="G148" s="92"/>
      <c r="H148" s="51"/>
      <c r="I148" s="53">
        <v>5.0</v>
      </c>
      <c r="J148" s="92"/>
      <c r="K148" s="51"/>
      <c r="L148" s="112">
        <v>5.0</v>
      </c>
      <c r="M148" s="51"/>
      <c r="N148" s="51">
        <v>2.0</v>
      </c>
      <c r="O148" s="112">
        <v>5.0</v>
      </c>
      <c r="P148" s="51"/>
      <c r="Q148" s="1"/>
      <c r="R148" s="1"/>
      <c r="S148" s="1"/>
      <c r="T148" s="1"/>
      <c r="U148" s="1"/>
      <c r="V148" s="1"/>
      <c r="W148" s="1"/>
    </row>
    <row r="149">
      <c r="A149" s="90">
        <f>A147</f>
        <v>17</v>
      </c>
      <c r="B149" s="45">
        <f t="shared" si="67"/>
        <v>46415</v>
      </c>
      <c r="C149" s="86">
        <f t="shared" si="26"/>
        <v>46415</v>
      </c>
      <c r="D149" s="94"/>
      <c r="E149" s="51">
        <v>2.0</v>
      </c>
      <c r="F149" s="53">
        <v>5.0</v>
      </c>
      <c r="G149" s="51"/>
      <c r="H149" s="51">
        <v>2.0</v>
      </c>
      <c r="I149" s="53">
        <v>5.0</v>
      </c>
      <c r="J149" s="51"/>
      <c r="K149" s="32"/>
      <c r="L149" s="32"/>
      <c r="M149" s="32"/>
      <c r="N149" s="51">
        <v>2.0</v>
      </c>
      <c r="O149" s="112">
        <v>5.0</v>
      </c>
      <c r="P149" s="51"/>
      <c r="Q149" s="1"/>
      <c r="R149" s="1"/>
      <c r="S149" s="1"/>
      <c r="T149" s="1"/>
      <c r="U149" s="1"/>
      <c r="V149" s="1"/>
      <c r="W149" s="1"/>
    </row>
    <row r="150">
      <c r="A150" s="90">
        <f>A147</f>
        <v>17</v>
      </c>
      <c r="B150" s="45">
        <f t="shared" si="67"/>
        <v>46416</v>
      </c>
      <c r="C150" s="46">
        <f t="shared" si="26"/>
        <v>46416</v>
      </c>
      <c r="D150" s="94"/>
      <c r="E150" s="51"/>
      <c r="F150" s="53">
        <v>5.0</v>
      </c>
      <c r="G150" s="92"/>
      <c r="H150" s="51"/>
      <c r="I150" s="53">
        <v>5.0</v>
      </c>
      <c r="J150" s="92"/>
      <c r="K150" s="51"/>
      <c r="L150" s="112">
        <v>5.0</v>
      </c>
      <c r="M150" s="68"/>
      <c r="N150" s="32"/>
      <c r="O150" s="32"/>
      <c r="P150" s="32"/>
      <c r="Q150" s="1"/>
      <c r="R150" s="1"/>
      <c r="S150" s="1"/>
      <c r="T150" s="1"/>
      <c r="U150" s="1"/>
      <c r="V150" s="1"/>
      <c r="W150" s="1"/>
    </row>
    <row r="151">
      <c r="A151" s="107">
        <f t="shared" ref="A151:A152" si="68">A147</f>
        <v>17</v>
      </c>
      <c r="B151" s="108">
        <f t="shared" si="67"/>
        <v>46417</v>
      </c>
      <c r="C151" s="109">
        <f t="shared" si="26"/>
        <v>46417</v>
      </c>
      <c r="D151" s="79"/>
      <c r="E151" s="31"/>
      <c r="F151" s="53">
        <v>5.0</v>
      </c>
      <c r="G151" s="79"/>
      <c r="H151" s="31"/>
      <c r="I151" s="53">
        <v>5.0</v>
      </c>
      <c r="J151" s="79"/>
      <c r="K151" s="31"/>
      <c r="L151" s="32"/>
      <c r="M151" s="32"/>
      <c r="N151" s="32"/>
      <c r="O151" s="32"/>
      <c r="P151" s="32"/>
      <c r="Q151" s="1"/>
      <c r="R151" s="1"/>
      <c r="S151" s="1"/>
      <c r="T151" s="1"/>
      <c r="U151" s="1"/>
      <c r="V151" s="1"/>
      <c r="W151" s="1"/>
    </row>
    <row r="152">
      <c r="A152" s="107">
        <f t="shared" si="68"/>
        <v>17</v>
      </c>
      <c r="B152" s="108">
        <f t="shared" si="67"/>
        <v>46418</v>
      </c>
      <c r="C152" s="109">
        <f t="shared" si="26"/>
        <v>46418</v>
      </c>
      <c r="D152" s="79"/>
      <c r="E152" s="31"/>
      <c r="F152" s="53">
        <v>5.0</v>
      </c>
      <c r="G152" s="79"/>
      <c r="H152" s="31"/>
      <c r="I152" s="53">
        <v>5.0</v>
      </c>
      <c r="J152" s="79"/>
      <c r="K152" s="31"/>
      <c r="L152" s="32"/>
      <c r="M152" s="32"/>
      <c r="N152" s="32"/>
      <c r="O152" s="32"/>
      <c r="P152" s="32"/>
      <c r="Q152" s="1"/>
      <c r="R152" s="1"/>
      <c r="S152" s="1"/>
      <c r="T152" s="1"/>
      <c r="U152" s="1"/>
      <c r="V152" s="1"/>
      <c r="W152" s="1"/>
    </row>
    <row r="153">
      <c r="A153" s="90">
        <f t="shared" ref="A153:B153" si="69">A152+1</f>
        <v>18</v>
      </c>
      <c r="B153" s="45">
        <f t="shared" si="69"/>
        <v>46419</v>
      </c>
      <c r="C153" s="46">
        <f t="shared" si="26"/>
        <v>46419</v>
      </c>
      <c r="D153" s="94"/>
      <c r="E153" s="51">
        <v>1.0</v>
      </c>
      <c r="F153" s="53">
        <v>5.0</v>
      </c>
      <c r="G153" s="94"/>
      <c r="H153" s="51">
        <v>1.0</v>
      </c>
      <c r="I153" s="53">
        <v>5.0</v>
      </c>
      <c r="J153" s="94"/>
      <c r="K153" s="85"/>
      <c r="L153" s="32"/>
      <c r="M153" s="32"/>
      <c r="N153" s="51">
        <v>1.0</v>
      </c>
      <c r="O153" s="112">
        <v>5.0</v>
      </c>
      <c r="P153" s="51"/>
      <c r="Q153" s="1"/>
      <c r="R153" s="1"/>
      <c r="S153" s="1"/>
      <c r="T153" s="1"/>
      <c r="U153" s="1"/>
      <c r="V153" s="1"/>
      <c r="W153" s="1"/>
    </row>
    <row r="154">
      <c r="A154" s="90">
        <f>A149+1</f>
        <v>18</v>
      </c>
      <c r="B154" s="45">
        <f t="shared" ref="B154:B159" si="70">B153+1</f>
        <v>46420</v>
      </c>
      <c r="C154" s="86">
        <f t="shared" si="26"/>
        <v>46420</v>
      </c>
      <c r="D154" s="94"/>
      <c r="E154" s="51">
        <v>1.0</v>
      </c>
      <c r="F154" s="53">
        <v>5.0</v>
      </c>
      <c r="G154" s="94"/>
      <c r="H154" s="51">
        <v>1.0</v>
      </c>
      <c r="I154" s="53">
        <v>5.0</v>
      </c>
      <c r="J154" s="94"/>
      <c r="K154" s="51"/>
      <c r="L154" s="112">
        <v>5.0</v>
      </c>
      <c r="M154" s="51"/>
      <c r="N154" s="32"/>
      <c r="O154" s="32"/>
      <c r="P154" s="32"/>
      <c r="Q154" s="1"/>
      <c r="R154" s="1"/>
      <c r="S154" s="1"/>
      <c r="T154" s="1"/>
      <c r="U154" s="1"/>
      <c r="V154" s="1"/>
      <c r="W154" s="1"/>
    </row>
    <row r="155">
      <c r="A155" s="90">
        <f>A154</f>
        <v>18</v>
      </c>
      <c r="B155" s="45">
        <f t="shared" si="70"/>
        <v>46421</v>
      </c>
      <c r="C155" s="46">
        <f t="shared" si="26"/>
        <v>46421</v>
      </c>
      <c r="D155" s="94"/>
      <c r="E155" s="51"/>
      <c r="F155" s="53">
        <v>5.0</v>
      </c>
      <c r="G155" s="94"/>
      <c r="H155" s="51"/>
      <c r="I155" s="53">
        <v>5.0</v>
      </c>
      <c r="J155" s="94"/>
      <c r="K155" s="51"/>
      <c r="L155" s="112">
        <v>5.0</v>
      </c>
      <c r="M155" s="51"/>
      <c r="N155" s="51">
        <v>2.0</v>
      </c>
      <c r="O155" s="112">
        <v>5.0</v>
      </c>
      <c r="P155" s="51"/>
      <c r="Q155" s="1"/>
      <c r="R155" s="1"/>
      <c r="S155" s="1"/>
      <c r="T155" s="1"/>
      <c r="U155" s="1"/>
      <c r="V155" s="1"/>
      <c r="W155" s="1"/>
    </row>
    <row r="156">
      <c r="A156" s="90">
        <f>A154</f>
        <v>18</v>
      </c>
      <c r="B156" s="45">
        <f t="shared" si="70"/>
        <v>46422</v>
      </c>
      <c r="C156" s="86">
        <f t="shared" si="26"/>
        <v>46422</v>
      </c>
      <c r="D156" s="114" t="s">
        <v>80</v>
      </c>
      <c r="E156" s="51">
        <v>2.0</v>
      </c>
      <c r="F156" s="53">
        <v>5.0</v>
      </c>
      <c r="G156" s="94"/>
      <c r="H156" s="51">
        <v>2.0</v>
      </c>
      <c r="I156" s="53">
        <v>5.0</v>
      </c>
      <c r="J156" s="94"/>
      <c r="K156" s="32"/>
      <c r="L156" s="32"/>
      <c r="M156" s="32"/>
      <c r="N156" s="51">
        <v>2.0</v>
      </c>
      <c r="O156" s="112">
        <v>5.0</v>
      </c>
      <c r="P156" s="51"/>
      <c r="Q156" s="1"/>
      <c r="R156" s="1"/>
      <c r="S156" s="1"/>
      <c r="T156" s="1"/>
      <c r="U156" s="1"/>
      <c r="V156" s="1"/>
      <c r="W156" s="1"/>
    </row>
    <row r="157">
      <c r="A157" s="90">
        <f>A154</f>
        <v>18</v>
      </c>
      <c r="B157" s="45">
        <f t="shared" si="70"/>
        <v>46423</v>
      </c>
      <c r="C157" s="46">
        <f t="shared" si="26"/>
        <v>46423</v>
      </c>
      <c r="D157" s="94"/>
      <c r="E157" s="51"/>
      <c r="F157" s="53">
        <v>5.0</v>
      </c>
      <c r="G157" s="94"/>
      <c r="H157" s="51"/>
      <c r="I157" s="53">
        <v>5.0</v>
      </c>
      <c r="J157" s="94"/>
      <c r="K157" s="51"/>
      <c r="L157" s="112">
        <v>5.0</v>
      </c>
      <c r="M157" s="68"/>
      <c r="N157" s="32"/>
      <c r="O157" s="32"/>
      <c r="P157" s="32"/>
      <c r="Q157" s="1"/>
      <c r="R157" s="1"/>
      <c r="S157" s="1"/>
      <c r="T157" s="1"/>
      <c r="U157" s="1"/>
      <c r="V157" s="1"/>
      <c r="W157" s="1"/>
    </row>
    <row r="158">
      <c r="A158" s="95">
        <f t="shared" ref="A158:A159" si="71">A154</f>
        <v>18</v>
      </c>
      <c r="B158" s="77">
        <f t="shared" si="70"/>
        <v>46424</v>
      </c>
      <c r="C158" s="78">
        <f t="shared" si="26"/>
        <v>46424</v>
      </c>
      <c r="D158" s="38"/>
      <c r="E158" s="31"/>
      <c r="F158" s="57">
        <v>6.0</v>
      </c>
      <c r="G158" s="38"/>
      <c r="H158" s="31"/>
      <c r="I158" s="57">
        <v>6.0</v>
      </c>
      <c r="J158" s="38"/>
      <c r="K158" s="32"/>
      <c r="L158" s="32"/>
      <c r="M158" s="32"/>
      <c r="N158" s="32"/>
      <c r="O158" s="32"/>
      <c r="P158" s="32"/>
      <c r="Q158" s="1"/>
      <c r="R158" s="1"/>
      <c r="S158" s="1"/>
      <c r="T158" s="1"/>
      <c r="U158" s="1"/>
      <c r="V158" s="1"/>
      <c r="W158" s="1"/>
    </row>
    <row r="159">
      <c r="A159" s="95">
        <f t="shared" si="71"/>
        <v>18</v>
      </c>
      <c r="B159" s="77">
        <f t="shared" si="70"/>
        <v>46425</v>
      </c>
      <c r="C159" s="78">
        <f t="shared" si="26"/>
        <v>46425</v>
      </c>
      <c r="D159" s="38"/>
      <c r="E159" s="31"/>
      <c r="F159" s="57">
        <v>6.0</v>
      </c>
      <c r="G159" s="38"/>
      <c r="H159" s="31"/>
      <c r="I159" s="57">
        <v>6.0</v>
      </c>
      <c r="J159" s="38"/>
      <c r="K159" s="32"/>
      <c r="L159" s="32"/>
      <c r="M159" s="32"/>
      <c r="N159" s="32"/>
      <c r="O159" s="32"/>
      <c r="P159" s="32"/>
      <c r="Q159" s="1"/>
      <c r="R159" s="1"/>
      <c r="S159" s="1"/>
      <c r="T159" s="1"/>
      <c r="U159" s="1"/>
      <c r="V159" s="1"/>
      <c r="W159" s="1"/>
    </row>
    <row r="160">
      <c r="A160" s="115">
        <f t="shared" ref="A160:B160" si="72">A159+1</f>
        <v>19</v>
      </c>
      <c r="B160" s="116">
        <f t="shared" si="72"/>
        <v>46426</v>
      </c>
      <c r="C160" s="46">
        <f t="shared" si="26"/>
        <v>46426</v>
      </c>
      <c r="D160" s="146"/>
      <c r="E160" s="51">
        <v>1.0</v>
      </c>
      <c r="F160" s="57">
        <v>6.0</v>
      </c>
      <c r="G160" s="30"/>
      <c r="H160" s="51">
        <v>1.0</v>
      </c>
      <c r="I160" s="57">
        <v>6.0</v>
      </c>
      <c r="J160" s="30"/>
      <c r="K160" s="130"/>
      <c r="L160" s="100"/>
      <c r="M160" s="100"/>
      <c r="N160" s="102"/>
      <c r="O160" s="122"/>
      <c r="P160" s="102"/>
      <c r="Q160" s="1"/>
      <c r="R160" s="1"/>
      <c r="S160" s="1"/>
      <c r="T160" s="1"/>
      <c r="U160" s="1"/>
      <c r="V160" s="1"/>
      <c r="W160" s="1"/>
    </row>
    <row r="161">
      <c r="A161" s="90">
        <f>A156+1</f>
        <v>19</v>
      </c>
      <c r="B161" s="45">
        <f t="shared" ref="B161:B166" si="73">B160+1</f>
        <v>46427</v>
      </c>
      <c r="C161" s="86">
        <f t="shared" si="26"/>
        <v>46427</v>
      </c>
      <c r="D161" s="146" t="s">
        <v>81</v>
      </c>
      <c r="E161" s="51">
        <v>1.0</v>
      </c>
      <c r="F161" s="57">
        <v>6.0</v>
      </c>
      <c r="G161" s="92"/>
      <c r="H161" s="51">
        <v>1.0</v>
      </c>
      <c r="I161" s="57">
        <v>6.0</v>
      </c>
      <c r="J161" s="92"/>
      <c r="K161" s="51"/>
      <c r="L161" s="112">
        <v>5.0</v>
      </c>
      <c r="M161" s="51"/>
      <c r="N161" s="32"/>
      <c r="O161" s="32"/>
      <c r="P161" s="32"/>
      <c r="Q161" s="1"/>
      <c r="R161" s="1"/>
      <c r="S161" s="1"/>
      <c r="T161" s="1"/>
      <c r="U161" s="1"/>
      <c r="V161" s="1"/>
      <c r="W161" s="1"/>
    </row>
    <row r="162">
      <c r="A162" s="90">
        <f>A161</f>
        <v>19</v>
      </c>
      <c r="B162" s="45">
        <f t="shared" si="73"/>
        <v>46428</v>
      </c>
      <c r="C162" s="46">
        <f t="shared" si="26"/>
        <v>46428</v>
      </c>
      <c r="D162" s="146" t="s">
        <v>82</v>
      </c>
      <c r="E162" s="51"/>
      <c r="F162" s="57">
        <v>6.0</v>
      </c>
      <c r="G162" s="92"/>
      <c r="H162" s="51"/>
      <c r="I162" s="57">
        <v>6.0</v>
      </c>
      <c r="J162" s="92"/>
      <c r="K162" s="51"/>
      <c r="L162" s="112">
        <v>5.0</v>
      </c>
      <c r="M162" s="51"/>
      <c r="N162" s="51">
        <v>2.0</v>
      </c>
      <c r="O162" s="112">
        <v>5.0</v>
      </c>
      <c r="P162" s="51"/>
      <c r="Q162" s="1"/>
      <c r="R162" s="1"/>
      <c r="S162" s="1"/>
      <c r="T162" s="1"/>
      <c r="U162" s="1"/>
      <c r="V162" s="1"/>
      <c r="W162" s="1"/>
    </row>
    <row r="163">
      <c r="A163" s="90">
        <f>A161</f>
        <v>19</v>
      </c>
      <c r="B163" s="45">
        <f t="shared" si="73"/>
        <v>46429</v>
      </c>
      <c r="C163" s="86">
        <f t="shared" si="26"/>
        <v>46429</v>
      </c>
      <c r="D163" s="146" t="s">
        <v>83</v>
      </c>
      <c r="E163" s="51">
        <v>2.0</v>
      </c>
      <c r="F163" s="57">
        <v>6.0</v>
      </c>
      <c r="G163" s="30"/>
      <c r="H163" s="51">
        <v>2.0</v>
      </c>
      <c r="I163" s="57">
        <v>6.0</v>
      </c>
      <c r="J163" s="30"/>
      <c r="K163" s="32"/>
      <c r="L163" s="32"/>
      <c r="M163" s="32"/>
      <c r="N163" s="51">
        <v>2.0</v>
      </c>
      <c r="O163" s="112">
        <v>5.0</v>
      </c>
      <c r="P163" s="51"/>
      <c r="Q163" s="1"/>
      <c r="R163" s="1"/>
      <c r="S163" s="1"/>
      <c r="T163" s="1"/>
      <c r="U163" s="1"/>
      <c r="V163" s="1"/>
      <c r="W163" s="1"/>
    </row>
    <row r="164">
      <c r="A164" s="90">
        <f>A161</f>
        <v>19</v>
      </c>
      <c r="B164" s="45">
        <f t="shared" si="73"/>
        <v>46430</v>
      </c>
      <c r="C164" s="46">
        <f t="shared" si="26"/>
        <v>46430</v>
      </c>
      <c r="D164" s="146" t="s">
        <v>84</v>
      </c>
      <c r="E164" s="51"/>
      <c r="F164" s="57">
        <v>6.0</v>
      </c>
      <c r="G164" s="30"/>
      <c r="H164" s="51"/>
      <c r="I164" s="57">
        <v>6.0</v>
      </c>
      <c r="J164" s="30"/>
      <c r="K164" s="51"/>
      <c r="L164" s="112">
        <v>5.0</v>
      </c>
      <c r="M164" s="68"/>
      <c r="N164" s="32"/>
      <c r="O164" s="32"/>
      <c r="P164" s="32"/>
      <c r="Q164" s="1"/>
      <c r="R164" s="1"/>
      <c r="S164" s="1"/>
      <c r="T164" s="1"/>
      <c r="U164" s="1"/>
      <c r="V164" s="1"/>
      <c r="W164" s="1"/>
    </row>
    <row r="165">
      <c r="A165" s="95">
        <f t="shared" ref="A165:A166" si="74">A161</f>
        <v>19</v>
      </c>
      <c r="B165" s="77">
        <f t="shared" si="73"/>
        <v>46431</v>
      </c>
      <c r="C165" s="78">
        <f t="shared" si="26"/>
        <v>46431</v>
      </c>
      <c r="D165" s="94"/>
      <c r="E165" s="51"/>
      <c r="F165" s="57">
        <v>6.0</v>
      </c>
      <c r="G165" s="92"/>
      <c r="H165" s="51"/>
      <c r="I165" s="57">
        <v>6.0</v>
      </c>
      <c r="J165" s="92"/>
      <c r="K165" s="32"/>
      <c r="L165" s="32"/>
      <c r="M165" s="32"/>
      <c r="N165" s="32"/>
      <c r="O165" s="32"/>
      <c r="P165" s="32"/>
      <c r="Q165" s="1"/>
      <c r="R165" s="1"/>
      <c r="S165" s="1"/>
      <c r="T165" s="1"/>
      <c r="U165" s="1"/>
      <c r="V165" s="1"/>
      <c r="W165" s="1"/>
    </row>
    <row r="166">
      <c r="A166" s="95">
        <f t="shared" si="74"/>
        <v>19</v>
      </c>
      <c r="B166" s="77">
        <f t="shared" si="73"/>
        <v>46432</v>
      </c>
      <c r="C166" s="78">
        <f t="shared" si="26"/>
        <v>46432</v>
      </c>
      <c r="D166" s="89"/>
      <c r="E166" s="51"/>
      <c r="F166" s="57">
        <v>6.0</v>
      </c>
      <c r="G166" s="92"/>
      <c r="H166" s="51"/>
      <c r="I166" s="57">
        <v>6.0</v>
      </c>
      <c r="J166" s="92"/>
      <c r="K166" s="32"/>
      <c r="L166" s="32"/>
      <c r="M166" s="32"/>
      <c r="N166" s="32"/>
      <c r="O166" s="32"/>
      <c r="P166" s="32"/>
      <c r="Q166" s="1"/>
      <c r="R166" s="1"/>
      <c r="S166" s="1"/>
      <c r="T166" s="1"/>
      <c r="U166" s="1"/>
      <c r="V166" s="1"/>
      <c r="W166" s="1"/>
    </row>
    <row r="167">
      <c r="A167" s="44">
        <f t="shared" ref="A167:B167" si="75">A166+1</f>
        <v>20</v>
      </c>
      <c r="B167" s="45">
        <f t="shared" si="75"/>
        <v>46433</v>
      </c>
      <c r="C167" s="46">
        <f t="shared" si="26"/>
        <v>46433</v>
      </c>
      <c r="D167" s="102"/>
      <c r="E167" s="51">
        <v>0.0</v>
      </c>
      <c r="F167" s="57">
        <v>6.0</v>
      </c>
      <c r="G167" s="118"/>
      <c r="H167" s="51">
        <v>0.0</v>
      </c>
      <c r="I167" s="57">
        <v>6.0</v>
      </c>
      <c r="J167" s="118"/>
      <c r="K167" s="85"/>
      <c r="L167" s="32"/>
      <c r="M167" s="32"/>
      <c r="N167" s="51">
        <v>1.0</v>
      </c>
      <c r="O167" s="112">
        <v>5.0</v>
      </c>
      <c r="P167" s="51"/>
      <c r="Q167" s="1"/>
      <c r="R167" s="1"/>
      <c r="S167" s="1"/>
      <c r="T167" s="1"/>
      <c r="U167" s="1"/>
      <c r="V167" s="1"/>
      <c r="W167" s="1"/>
    </row>
    <row r="168">
      <c r="A168" s="90">
        <f>A163+1</f>
        <v>20</v>
      </c>
      <c r="B168" s="45">
        <f t="shared" ref="B168:B173" si="76">B167+1</f>
        <v>46434</v>
      </c>
      <c r="C168" s="86">
        <f t="shared" si="26"/>
        <v>46434</v>
      </c>
      <c r="D168" s="147"/>
      <c r="E168" s="51">
        <v>0.0</v>
      </c>
      <c r="F168" s="57">
        <v>6.0</v>
      </c>
      <c r="G168" s="30"/>
      <c r="H168" s="51">
        <v>0.0</v>
      </c>
      <c r="I168" s="57">
        <v>6.0</v>
      </c>
      <c r="J168" s="30"/>
      <c r="K168" s="51"/>
      <c r="L168" s="112">
        <v>5.0</v>
      </c>
      <c r="M168" s="51"/>
      <c r="N168" s="32"/>
      <c r="O168" s="32"/>
      <c r="P168" s="32"/>
      <c r="Q168" s="1"/>
      <c r="R168" s="1"/>
      <c r="S168" s="1"/>
      <c r="T168" s="1"/>
      <c r="U168" s="1"/>
      <c r="V168" s="1"/>
      <c r="W168" s="1"/>
    </row>
    <row r="169">
      <c r="A169" s="90">
        <f>A168</f>
        <v>20</v>
      </c>
      <c r="B169" s="45">
        <f t="shared" si="76"/>
        <v>46435</v>
      </c>
      <c r="C169" s="46">
        <f t="shared" si="26"/>
        <v>46435</v>
      </c>
      <c r="D169" s="147"/>
      <c r="E169" s="51"/>
      <c r="F169" s="57">
        <v>6.0</v>
      </c>
      <c r="G169" s="38"/>
      <c r="H169" s="51"/>
      <c r="I169" s="57">
        <v>6.0</v>
      </c>
      <c r="J169" s="38"/>
      <c r="K169" s="51"/>
      <c r="L169" s="112">
        <v>5.0</v>
      </c>
      <c r="M169" s="51"/>
      <c r="N169" s="51">
        <v>2.0</v>
      </c>
      <c r="O169" s="112">
        <v>5.0</v>
      </c>
      <c r="P169" s="51"/>
      <c r="Q169" s="1"/>
      <c r="R169" s="1"/>
      <c r="S169" s="1"/>
      <c r="T169" s="1"/>
      <c r="U169" s="1"/>
      <c r="V169" s="1"/>
      <c r="W169" s="1"/>
    </row>
    <row r="170">
      <c r="A170" s="90">
        <f>A168</f>
        <v>20</v>
      </c>
      <c r="B170" s="45">
        <f t="shared" si="76"/>
        <v>46436</v>
      </c>
      <c r="C170" s="86">
        <f t="shared" si="26"/>
        <v>46436</v>
      </c>
      <c r="D170" s="146" t="s">
        <v>85</v>
      </c>
      <c r="E170" s="51">
        <v>2.0</v>
      </c>
      <c r="F170" s="57">
        <v>6.0</v>
      </c>
      <c r="G170" s="30"/>
      <c r="H170" s="51">
        <v>2.0</v>
      </c>
      <c r="I170" s="57">
        <v>6.0</v>
      </c>
      <c r="J170" s="30"/>
      <c r="K170" s="32"/>
      <c r="L170" s="32"/>
      <c r="M170" s="32"/>
      <c r="N170" s="51">
        <v>2.0</v>
      </c>
      <c r="O170" s="112">
        <v>5.0</v>
      </c>
      <c r="P170" s="51"/>
      <c r="Q170" s="1"/>
      <c r="R170" s="1"/>
      <c r="S170" s="1"/>
      <c r="T170" s="1"/>
      <c r="U170" s="1"/>
      <c r="V170" s="1"/>
      <c r="W170" s="1"/>
    </row>
    <row r="171">
      <c r="A171" s="90">
        <f>A168</f>
        <v>20</v>
      </c>
      <c r="B171" s="45">
        <f t="shared" si="76"/>
        <v>46437</v>
      </c>
      <c r="C171" s="46">
        <f t="shared" si="26"/>
        <v>46437</v>
      </c>
      <c r="D171" s="147"/>
      <c r="E171" s="51"/>
      <c r="F171" s="57">
        <v>6.0</v>
      </c>
      <c r="G171" s="30"/>
      <c r="H171" s="51"/>
      <c r="I171" s="57">
        <v>6.0</v>
      </c>
      <c r="J171" s="30"/>
      <c r="K171" s="51"/>
      <c r="L171" s="112">
        <v>5.0</v>
      </c>
      <c r="M171" s="68"/>
      <c r="N171" s="32"/>
      <c r="O171" s="32"/>
      <c r="P171" s="32"/>
      <c r="Q171" s="1"/>
      <c r="R171" s="1"/>
      <c r="S171" s="1"/>
      <c r="T171" s="1"/>
      <c r="U171" s="1"/>
      <c r="V171" s="1"/>
      <c r="W171" s="1"/>
    </row>
    <row r="172">
      <c r="A172" s="107">
        <f t="shared" ref="A172:A173" si="77">A168</f>
        <v>20</v>
      </c>
      <c r="B172" s="108">
        <f t="shared" si="76"/>
        <v>46438</v>
      </c>
      <c r="C172" s="109">
        <f t="shared" si="26"/>
        <v>46438</v>
      </c>
      <c r="D172" s="147"/>
      <c r="E172" s="31"/>
      <c r="F172" s="57">
        <v>6.0</v>
      </c>
      <c r="G172" s="38"/>
      <c r="H172" s="31"/>
      <c r="I172" s="57">
        <v>6.0</v>
      </c>
      <c r="J172" s="38"/>
      <c r="K172" s="32"/>
      <c r="L172" s="32"/>
      <c r="M172" s="32"/>
      <c r="N172" s="32"/>
      <c r="O172" s="32"/>
      <c r="P172" s="32"/>
      <c r="Q172" s="1"/>
      <c r="R172" s="1"/>
      <c r="S172" s="1"/>
      <c r="T172" s="1"/>
      <c r="U172" s="1"/>
      <c r="V172" s="1"/>
      <c r="W172" s="1"/>
    </row>
    <row r="173">
      <c r="A173" s="107">
        <f t="shared" si="77"/>
        <v>20</v>
      </c>
      <c r="B173" s="108">
        <f t="shared" si="76"/>
        <v>46439</v>
      </c>
      <c r="C173" s="109">
        <f t="shared" si="26"/>
        <v>46439</v>
      </c>
      <c r="D173" s="147"/>
      <c r="E173" s="31"/>
      <c r="F173" s="57">
        <v>6.0</v>
      </c>
      <c r="G173" s="38"/>
      <c r="H173" s="31"/>
      <c r="I173" s="57">
        <v>6.0</v>
      </c>
      <c r="J173" s="38"/>
      <c r="K173" s="32"/>
      <c r="L173" s="32"/>
      <c r="M173" s="32"/>
      <c r="N173" s="32"/>
      <c r="O173" s="32"/>
      <c r="P173" s="32"/>
      <c r="Q173" s="1"/>
      <c r="R173" s="1"/>
      <c r="S173" s="1"/>
      <c r="T173" s="1"/>
      <c r="U173" s="1"/>
      <c r="V173" s="1"/>
      <c r="W173" s="1"/>
    </row>
    <row r="174">
      <c r="A174" s="90">
        <f t="shared" ref="A174:B174" si="78">A173+1</f>
        <v>21</v>
      </c>
      <c r="B174" s="45">
        <f t="shared" si="78"/>
        <v>46440</v>
      </c>
      <c r="C174" s="46">
        <f t="shared" si="26"/>
        <v>46440</v>
      </c>
      <c r="D174" s="89"/>
      <c r="E174" s="51">
        <v>1.0</v>
      </c>
      <c r="F174" s="57">
        <v>6.0</v>
      </c>
      <c r="G174" s="148"/>
      <c r="H174" s="51">
        <v>1.0</v>
      </c>
      <c r="I174" s="57">
        <v>6.0</v>
      </c>
      <c r="J174" s="148"/>
      <c r="K174" s="85"/>
      <c r="L174" s="32"/>
      <c r="M174" s="32"/>
      <c r="N174" s="51">
        <v>1.0</v>
      </c>
      <c r="O174" s="112">
        <v>5.0</v>
      </c>
      <c r="P174" s="51"/>
      <c r="Q174" s="1"/>
      <c r="R174" s="1"/>
      <c r="S174" s="1"/>
      <c r="T174" s="1"/>
      <c r="U174" s="1"/>
      <c r="V174" s="1"/>
      <c r="W174" s="1"/>
    </row>
    <row r="175">
      <c r="A175" s="90">
        <f>A170+1</f>
        <v>21</v>
      </c>
      <c r="B175" s="45">
        <f t="shared" ref="B175:B180" si="79">B174+1</f>
        <v>46441</v>
      </c>
      <c r="C175" s="86">
        <f t="shared" si="26"/>
        <v>46441</v>
      </c>
      <c r="D175" s="89"/>
      <c r="E175" s="51">
        <v>1.0</v>
      </c>
      <c r="F175" s="57">
        <v>6.0</v>
      </c>
      <c r="G175" s="92"/>
      <c r="H175" s="51">
        <v>1.0</v>
      </c>
      <c r="I175" s="57">
        <v>6.0</v>
      </c>
      <c r="J175" s="92"/>
      <c r="K175" s="51"/>
      <c r="L175" s="112">
        <v>5.0</v>
      </c>
      <c r="M175" s="51"/>
      <c r="N175" s="32"/>
      <c r="O175" s="32"/>
      <c r="P175" s="32"/>
      <c r="Q175" s="1"/>
      <c r="R175" s="1"/>
      <c r="S175" s="1"/>
      <c r="T175" s="1"/>
      <c r="U175" s="1"/>
      <c r="V175" s="1"/>
      <c r="W175" s="1"/>
    </row>
    <row r="176">
      <c r="A176" s="90">
        <f>A175</f>
        <v>21</v>
      </c>
      <c r="B176" s="45">
        <f t="shared" si="79"/>
        <v>46442</v>
      </c>
      <c r="C176" s="46">
        <f t="shared" si="26"/>
        <v>46442</v>
      </c>
      <c r="D176" s="89"/>
      <c r="E176" s="51"/>
      <c r="F176" s="57">
        <v>6.0</v>
      </c>
      <c r="G176" s="92"/>
      <c r="H176" s="51"/>
      <c r="I176" s="57">
        <v>6.0</v>
      </c>
      <c r="J176" s="92"/>
      <c r="K176" s="51"/>
      <c r="L176" s="112">
        <v>5.0</v>
      </c>
      <c r="M176" s="51"/>
      <c r="N176" s="51">
        <v>2.0</v>
      </c>
      <c r="O176" s="112">
        <v>5.0</v>
      </c>
      <c r="P176" s="51"/>
      <c r="Q176" s="1"/>
      <c r="R176" s="1"/>
      <c r="S176" s="1"/>
      <c r="T176" s="1"/>
      <c r="U176" s="1"/>
      <c r="V176" s="1"/>
      <c r="W176" s="1"/>
    </row>
    <row r="177">
      <c r="A177" s="90">
        <f>A175</f>
        <v>21</v>
      </c>
      <c r="B177" s="45">
        <f t="shared" si="79"/>
        <v>46443</v>
      </c>
      <c r="C177" s="86">
        <f t="shared" si="26"/>
        <v>46443</v>
      </c>
      <c r="D177" s="89"/>
      <c r="E177" s="51">
        <v>2.0</v>
      </c>
      <c r="F177" s="57">
        <v>6.0</v>
      </c>
      <c r="G177" s="51"/>
      <c r="H177" s="51">
        <v>2.0</v>
      </c>
      <c r="I177" s="57">
        <v>6.0</v>
      </c>
      <c r="J177" s="51"/>
      <c r="K177" s="32"/>
      <c r="L177" s="32"/>
      <c r="M177" s="32"/>
      <c r="N177" s="51">
        <v>2.0</v>
      </c>
      <c r="O177" s="112">
        <v>5.0</v>
      </c>
      <c r="P177" s="51"/>
      <c r="Q177" s="1"/>
      <c r="R177" s="1"/>
      <c r="S177" s="1"/>
      <c r="T177" s="1"/>
      <c r="U177" s="1"/>
      <c r="V177" s="1"/>
      <c r="W177" s="1"/>
    </row>
    <row r="178">
      <c r="A178" s="90">
        <f>A175</f>
        <v>21</v>
      </c>
      <c r="B178" s="45">
        <f t="shared" si="79"/>
        <v>46444</v>
      </c>
      <c r="C178" s="46">
        <f t="shared" si="26"/>
        <v>46444</v>
      </c>
      <c r="D178" s="89"/>
      <c r="E178" s="51"/>
      <c r="F178" s="57">
        <v>6.0</v>
      </c>
      <c r="G178" s="92"/>
      <c r="H178" s="51"/>
      <c r="I178" s="57">
        <v>6.0</v>
      </c>
      <c r="J178" s="92"/>
      <c r="K178" s="102"/>
      <c r="L178" s="122"/>
      <c r="M178" s="103"/>
      <c r="N178" s="100"/>
      <c r="O178" s="100"/>
      <c r="P178" s="100"/>
      <c r="Q178" s="1"/>
      <c r="R178" s="1"/>
      <c r="S178" s="1"/>
      <c r="T178" s="1"/>
      <c r="U178" s="1"/>
      <c r="V178" s="1"/>
      <c r="W178" s="1"/>
    </row>
    <row r="179">
      <c r="A179" s="95">
        <f t="shared" ref="A179:A180" si="80">A175</f>
        <v>21</v>
      </c>
      <c r="B179" s="77">
        <f t="shared" si="79"/>
        <v>46445</v>
      </c>
      <c r="C179" s="78">
        <f t="shared" si="26"/>
        <v>46445</v>
      </c>
      <c r="D179" s="94"/>
      <c r="E179" s="51"/>
      <c r="F179" s="57">
        <v>6.0</v>
      </c>
      <c r="G179" s="92"/>
      <c r="H179" s="51"/>
      <c r="I179" s="57">
        <v>6.0</v>
      </c>
      <c r="J179" s="92"/>
      <c r="K179" s="32"/>
      <c r="L179" s="32"/>
      <c r="M179" s="32"/>
      <c r="N179" s="32"/>
      <c r="O179" s="32"/>
      <c r="P179" s="32"/>
      <c r="Q179" s="1"/>
      <c r="R179" s="1"/>
      <c r="S179" s="1"/>
      <c r="T179" s="1"/>
      <c r="U179" s="1"/>
      <c r="V179" s="1"/>
      <c r="W179" s="1"/>
    </row>
    <row r="180">
      <c r="A180" s="95">
        <f t="shared" si="80"/>
        <v>21</v>
      </c>
      <c r="B180" s="77">
        <f t="shared" si="79"/>
        <v>46446</v>
      </c>
      <c r="C180" s="78">
        <f t="shared" si="26"/>
        <v>46446</v>
      </c>
      <c r="D180" s="94"/>
      <c r="E180" s="51"/>
      <c r="F180" s="57">
        <v>6.0</v>
      </c>
      <c r="G180" s="92"/>
      <c r="H180" s="51"/>
      <c r="I180" s="57">
        <v>6.0</v>
      </c>
      <c r="J180" s="92"/>
      <c r="K180" s="32"/>
      <c r="L180" s="32"/>
      <c r="M180" s="32"/>
      <c r="N180" s="32"/>
      <c r="O180" s="32"/>
      <c r="P180" s="32"/>
      <c r="Q180" s="1"/>
      <c r="R180" s="1"/>
      <c r="S180" s="1"/>
      <c r="T180" s="1"/>
      <c r="U180" s="1"/>
      <c r="V180" s="1"/>
      <c r="W180" s="1"/>
    </row>
    <row r="181">
      <c r="A181" s="90">
        <f t="shared" ref="A181:B181" si="81">A180+1</f>
        <v>22</v>
      </c>
      <c r="B181" s="45">
        <f t="shared" si="81"/>
        <v>46447</v>
      </c>
      <c r="C181" s="46">
        <f t="shared" si="26"/>
        <v>46447</v>
      </c>
      <c r="D181" s="146" t="s">
        <v>86</v>
      </c>
      <c r="E181" s="51">
        <v>1.0</v>
      </c>
      <c r="F181" s="57">
        <v>6.0</v>
      </c>
      <c r="G181" s="51"/>
      <c r="H181" s="51">
        <v>1.0</v>
      </c>
      <c r="I181" s="57">
        <v>6.0</v>
      </c>
      <c r="J181" s="51"/>
      <c r="K181" s="85"/>
      <c r="L181" s="32"/>
      <c r="M181" s="32"/>
      <c r="N181" s="51">
        <v>1.0</v>
      </c>
      <c r="O181" s="112">
        <v>5.0</v>
      </c>
      <c r="P181" s="51"/>
      <c r="Q181" s="1"/>
      <c r="R181" s="1"/>
      <c r="S181" s="1"/>
      <c r="T181" s="1"/>
      <c r="U181" s="1"/>
      <c r="V181" s="1"/>
      <c r="W181" s="1"/>
    </row>
    <row r="182">
      <c r="A182" s="90">
        <f>A177+1</f>
        <v>22</v>
      </c>
      <c r="B182" s="45">
        <f t="shared" ref="B182:B187" si="82">B181+1</f>
        <v>46448</v>
      </c>
      <c r="C182" s="86">
        <f t="shared" si="26"/>
        <v>46448</v>
      </c>
      <c r="D182" s="89"/>
      <c r="E182" s="51">
        <v>1.0</v>
      </c>
      <c r="F182" s="57">
        <v>6.0</v>
      </c>
      <c r="G182" s="92"/>
      <c r="H182" s="51">
        <v>1.0</v>
      </c>
      <c r="I182" s="57">
        <v>6.0</v>
      </c>
      <c r="J182" s="92"/>
      <c r="K182" s="51"/>
      <c r="L182" s="112">
        <v>5.0</v>
      </c>
      <c r="M182" s="51"/>
      <c r="N182" s="32"/>
      <c r="O182" s="32"/>
      <c r="P182" s="32"/>
      <c r="Q182" s="1"/>
      <c r="R182" s="1"/>
      <c r="S182" s="1"/>
      <c r="T182" s="1"/>
      <c r="U182" s="1"/>
      <c r="V182" s="1"/>
      <c r="W182" s="1"/>
    </row>
    <row r="183">
      <c r="A183" s="90">
        <f>A182</f>
        <v>22</v>
      </c>
      <c r="B183" s="45">
        <f t="shared" si="82"/>
        <v>46449</v>
      </c>
      <c r="C183" s="46">
        <f t="shared" si="26"/>
        <v>46449</v>
      </c>
      <c r="D183" s="89"/>
      <c r="E183" s="51"/>
      <c r="F183" s="57">
        <v>6.0</v>
      </c>
      <c r="G183" s="92"/>
      <c r="H183" s="51"/>
      <c r="I183" s="57">
        <v>6.0</v>
      </c>
      <c r="J183" s="92"/>
      <c r="K183" s="51"/>
      <c r="L183" s="112"/>
      <c r="M183" s="51"/>
      <c r="N183" s="51"/>
      <c r="O183" s="112"/>
      <c r="P183" s="51"/>
      <c r="Q183" s="1"/>
      <c r="R183" s="1"/>
      <c r="S183" s="1"/>
      <c r="T183" s="1"/>
      <c r="U183" s="1"/>
      <c r="V183" s="1"/>
      <c r="W183" s="1"/>
    </row>
    <row r="184">
      <c r="A184" s="90">
        <f>A182</f>
        <v>22</v>
      </c>
      <c r="B184" s="45">
        <f t="shared" si="82"/>
        <v>46450</v>
      </c>
      <c r="C184" s="86">
        <f t="shared" si="26"/>
        <v>46450</v>
      </c>
      <c r="D184" s="111" t="s">
        <v>87</v>
      </c>
      <c r="E184" s="51">
        <v>2.0</v>
      </c>
      <c r="F184" s="57">
        <v>6.0</v>
      </c>
      <c r="G184" s="51"/>
      <c r="H184" s="51">
        <v>2.0</v>
      </c>
      <c r="I184" s="57">
        <v>6.0</v>
      </c>
      <c r="J184" s="51"/>
      <c r="K184" s="32"/>
      <c r="L184" s="32"/>
      <c r="M184" s="32"/>
      <c r="N184" s="51">
        <v>2.0</v>
      </c>
      <c r="O184" s="112">
        <v>5.0</v>
      </c>
      <c r="P184" s="51"/>
      <c r="Q184" s="1"/>
      <c r="R184" s="1"/>
      <c r="S184" s="1"/>
      <c r="T184" s="1"/>
      <c r="U184" s="1"/>
      <c r="V184" s="1"/>
      <c r="W184" s="1"/>
    </row>
    <row r="185">
      <c r="A185" s="90">
        <f>A182</f>
        <v>22</v>
      </c>
      <c r="B185" s="45">
        <f t="shared" si="82"/>
        <v>46451</v>
      </c>
      <c r="C185" s="46">
        <f t="shared" si="26"/>
        <v>46451</v>
      </c>
      <c r="D185" s="89"/>
      <c r="E185" s="51"/>
      <c r="F185" s="57">
        <v>6.0</v>
      </c>
      <c r="G185" s="51"/>
      <c r="H185" s="51"/>
      <c r="I185" s="57">
        <v>6.0</v>
      </c>
      <c r="J185" s="51"/>
      <c r="K185" s="51"/>
      <c r="L185" s="112">
        <v>5.0</v>
      </c>
      <c r="M185" s="68"/>
      <c r="N185" s="32"/>
      <c r="O185" s="32"/>
      <c r="P185" s="32"/>
      <c r="Q185" s="1"/>
      <c r="R185" s="1"/>
      <c r="S185" s="1"/>
      <c r="T185" s="1"/>
      <c r="U185" s="1"/>
      <c r="V185" s="1"/>
      <c r="W185" s="1"/>
    </row>
    <row r="186">
      <c r="A186" s="95">
        <f t="shared" ref="A186:A187" si="83">A182</f>
        <v>22</v>
      </c>
      <c r="B186" s="77">
        <f t="shared" si="82"/>
        <v>46452</v>
      </c>
      <c r="C186" s="78">
        <f t="shared" si="26"/>
        <v>46452</v>
      </c>
      <c r="D186" s="94"/>
      <c r="E186" s="51"/>
      <c r="F186" s="57">
        <v>6.0</v>
      </c>
      <c r="G186" s="51"/>
      <c r="H186" s="51"/>
      <c r="I186" s="57">
        <v>6.0</v>
      </c>
      <c r="J186" s="51"/>
      <c r="K186" s="32"/>
      <c r="L186" s="32"/>
      <c r="M186" s="32"/>
      <c r="N186" s="32"/>
      <c r="O186" s="32"/>
      <c r="P186" s="32"/>
      <c r="Q186" s="1"/>
      <c r="R186" s="1"/>
      <c r="S186" s="1"/>
      <c r="T186" s="1"/>
      <c r="U186" s="1"/>
      <c r="V186" s="1"/>
      <c r="W186" s="1"/>
    </row>
    <row r="187">
      <c r="A187" s="95">
        <f t="shared" si="83"/>
        <v>22</v>
      </c>
      <c r="B187" s="77">
        <f t="shared" si="82"/>
        <v>46453</v>
      </c>
      <c r="C187" s="78">
        <f t="shared" si="26"/>
        <v>46453</v>
      </c>
      <c r="D187" s="94"/>
      <c r="E187" s="51"/>
      <c r="F187" s="57">
        <v>6.0</v>
      </c>
      <c r="G187" s="51"/>
      <c r="H187" s="51"/>
      <c r="I187" s="57">
        <v>6.0</v>
      </c>
      <c r="J187" s="51"/>
      <c r="K187" s="32"/>
      <c r="L187" s="32"/>
      <c r="M187" s="32"/>
      <c r="N187" s="32"/>
      <c r="O187" s="32"/>
      <c r="P187" s="32"/>
      <c r="Q187" s="1"/>
      <c r="R187" s="1"/>
      <c r="S187" s="1"/>
      <c r="T187" s="1"/>
      <c r="U187" s="1"/>
      <c r="V187" s="1"/>
      <c r="W187" s="1"/>
    </row>
    <row r="188">
      <c r="A188" s="90">
        <f t="shared" ref="A188:B188" si="84">A187+1</f>
        <v>23</v>
      </c>
      <c r="B188" s="45">
        <f t="shared" si="84"/>
        <v>46454</v>
      </c>
      <c r="C188" s="46">
        <f t="shared" si="26"/>
        <v>46454</v>
      </c>
      <c r="D188" s="149" t="s">
        <v>88</v>
      </c>
      <c r="E188" s="149"/>
      <c r="F188" s="149"/>
      <c r="G188" s="149"/>
      <c r="H188" s="149"/>
      <c r="I188" s="149"/>
      <c r="J188" s="149"/>
      <c r="K188" s="85"/>
      <c r="L188" s="32"/>
      <c r="M188" s="32"/>
      <c r="N188" s="51">
        <v>1.0</v>
      </c>
      <c r="O188" s="112">
        <v>5.0</v>
      </c>
      <c r="P188" s="51"/>
      <c r="Q188" s="1"/>
      <c r="R188" s="1"/>
      <c r="S188" s="1"/>
      <c r="T188" s="1"/>
      <c r="U188" s="1"/>
      <c r="V188" s="1"/>
      <c r="W188" s="1"/>
    </row>
    <row r="189">
      <c r="A189" s="90">
        <f>A184+1</f>
        <v>23</v>
      </c>
      <c r="B189" s="45">
        <f t="shared" ref="B189:B194" si="85">B188+1</f>
        <v>46455</v>
      </c>
      <c r="C189" s="46">
        <f t="shared" si="26"/>
        <v>46455</v>
      </c>
      <c r="D189" s="150"/>
      <c r="E189" s="149"/>
      <c r="F189" s="149"/>
      <c r="G189" s="149"/>
      <c r="H189" s="149"/>
      <c r="I189" s="149"/>
      <c r="J189" s="149"/>
      <c r="K189" s="51"/>
      <c r="L189" s="112">
        <v>5.0</v>
      </c>
      <c r="M189" s="51"/>
      <c r="N189" s="32"/>
      <c r="O189" s="32"/>
      <c r="P189" s="32"/>
    </row>
    <row r="190">
      <c r="A190" s="90">
        <f>A189</f>
        <v>23</v>
      </c>
      <c r="B190" s="45">
        <f t="shared" si="85"/>
        <v>46456</v>
      </c>
      <c r="C190" s="46">
        <f t="shared" si="26"/>
        <v>46456</v>
      </c>
      <c r="D190" s="150"/>
      <c r="E190" s="149"/>
      <c r="F190" s="149"/>
      <c r="G190" s="149"/>
      <c r="H190" s="149"/>
      <c r="I190" s="149"/>
      <c r="J190" s="149"/>
      <c r="K190" s="51"/>
      <c r="L190" s="112">
        <v>5.0</v>
      </c>
      <c r="M190" s="51"/>
      <c r="N190" s="51">
        <v>2.0</v>
      </c>
      <c r="O190" s="112">
        <v>5.0</v>
      </c>
      <c r="P190" s="51"/>
    </row>
    <row r="191">
      <c r="A191" s="90">
        <f>A189</f>
        <v>23</v>
      </c>
      <c r="B191" s="45">
        <f t="shared" si="85"/>
        <v>46457</v>
      </c>
      <c r="C191" s="46">
        <f t="shared" si="26"/>
        <v>46457</v>
      </c>
      <c r="D191" s="150"/>
      <c r="E191" s="149"/>
      <c r="F191" s="149"/>
      <c r="G191" s="149"/>
      <c r="H191" s="149"/>
      <c r="I191" s="149"/>
      <c r="J191" s="149"/>
      <c r="K191" s="32"/>
      <c r="L191" s="32"/>
      <c r="M191" s="32"/>
      <c r="N191" s="51">
        <v>2.0</v>
      </c>
      <c r="O191" s="112">
        <v>5.0</v>
      </c>
      <c r="P191" s="99" t="s">
        <v>89</v>
      </c>
    </row>
    <row r="192" ht="15.0" customHeight="1">
      <c r="A192" s="90">
        <f>A189</f>
        <v>23</v>
      </c>
      <c r="B192" s="45">
        <f t="shared" si="85"/>
        <v>46458</v>
      </c>
      <c r="C192" s="46">
        <f t="shared" si="26"/>
        <v>46458</v>
      </c>
      <c r="D192" s="151" t="s">
        <v>90</v>
      </c>
      <c r="E192" s="149"/>
      <c r="F192" s="149"/>
      <c r="G192" s="149"/>
      <c r="H192" s="149"/>
      <c r="I192" s="149"/>
      <c r="J192" s="149"/>
      <c r="K192" s="51"/>
      <c r="L192" s="112">
        <v>5.0</v>
      </c>
      <c r="M192" s="99" t="s">
        <v>89</v>
      </c>
      <c r="N192" s="32"/>
      <c r="O192" s="32"/>
      <c r="P192" s="32"/>
    </row>
    <row r="193">
      <c r="A193" s="107">
        <f t="shared" ref="A193:A194" si="86">A189</f>
        <v>23</v>
      </c>
      <c r="B193" s="108">
        <f t="shared" si="85"/>
        <v>46459</v>
      </c>
      <c r="C193" s="109">
        <f t="shared" si="26"/>
        <v>46459</v>
      </c>
      <c r="D193" s="152"/>
      <c r="E193" s="149"/>
      <c r="F193" s="149"/>
      <c r="G193" s="149"/>
      <c r="H193" s="149"/>
      <c r="I193" s="149"/>
      <c r="J193" s="149"/>
      <c r="K193" s="32"/>
      <c r="L193" s="32"/>
      <c r="M193" s="32"/>
      <c r="N193" s="32"/>
      <c r="O193" s="32"/>
      <c r="P193" s="32"/>
    </row>
    <row r="194">
      <c r="A194" s="107">
        <f t="shared" si="86"/>
        <v>23</v>
      </c>
      <c r="B194" s="108">
        <f t="shared" si="85"/>
        <v>46460</v>
      </c>
      <c r="C194" s="109">
        <f t="shared" si="26"/>
        <v>46460</v>
      </c>
      <c r="D194" s="152" t="s">
        <v>91</v>
      </c>
      <c r="E194" s="149"/>
      <c r="F194" s="149"/>
      <c r="G194" s="149"/>
      <c r="H194" s="149"/>
      <c r="I194" s="149"/>
      <c r="J194" s="149"/>
      <c r="K194" s="2"/>
      <c r="L194" s="2"/>
      <c r="M194" s="2"/>
      <c r="N194" s="2"/>
      <c r="O194" s="2"/>
      <c r="P194" s="2"/>
      <c r="X194" s="153"/>
      <c r="Y194" s="153"/>
      <c r="Z194" s="153"/>
      <c r="AA194" s="153"/>
      <c r="AB194" s="153"/>
      <c r="AC194" s="153"/>
      <c r="AD194" s="153"/>
      <c r="AE194" s="153"/>
    </row>
    <row r="195">
      <c r="A195" s="44">
        <f t="shared" ref="A195:B195" si="87">A194+1</f>
        <v>24</v>
      </c>
      <c r="B195" s="45">
        <f t="shared" si="87"/>
        <v>46461</v>
      </c>
      <c r="C195" s="46">
        <f t="shared" si="26"/>
        <v>46461</v>
      </c>
      <c r="D195" s="152"/>
      <c r="E195" s="149"/>
      <c r="F195" s="149"/>
      <c r="G195" s="149"/>
      <c r="H195" s="149"/>
      <c r="I195" s="149"/>
      <c r="J195" s="149"/>
      <c r="K195" s="51"/>
      <c r="L195" s="154"/>
      <c r="M195" s="51"/>
      <c r="N195" s="51"/>
      <c r="O195" s="154"/>
      <c r="P195" s="51"/>
      <c r="X195" s="153"/>
      <c r="Y195" s="153"/>
      <c r="Z195" s="153"/>
      <c r="AA195" s="153"/>
      <c r="AB195" s="153"/>
      <c r="AC195" s="153"/>
      <c r="AD195" s="153"/>
      <c r="AE195" s="153"/>
    </row>
    <row r="196">
      <c r="A196" s="44">
        <f>A191+1</f>
        <v>24</v>
      </c>
      <c r="B196" s="45">
        <f t="shared" ref="B196:B203" si="88">B195+1</f>
        <v>46462</v>
      </c>
      <c r="C196" s="46">
        <f t="shared" si="26"/>
        <v>46462</v>
      </c>
      <c r="D196" s="152"/>
      <c r="E196" s="149"/>
      <c r="F196" s="149"/>
      <c r="G196" s="149"/>
      <c r="H196" s="149"/>
      <c r="I196" s="149"/>
      <c r="J196" s="149"/>
      <c r="K196" s="51"/>
      <c r="L196" s="154"/>
      <c r="M196" s="51"/>
      <c r="N196" s="51"/>
      <c r="O196" s="154"/>
      <c r="P196" s="51"/>
      <c r="X196" s="153"/>
      <c r="Y196" s="153"/>
      <c r="Z196" s="153"/>
      <c r="AA196" s="153"/>
      <c r="AB196" s="153"/>
      <c r="AC196" s="153"/>
      <c r="AD196" s="153"/>
      <c r="AE196" s="153"/>
    </row>
    <row r="197">
      <c r="A197" s="44">
        <f>A196</f>
        <v>24</v>
      </c>
      <c r="B197" s="45">
        <f t="shared" si="88"/>
        <v>46463</v>
      </c>
      <c r="C197" s="46">
        <f t="shared" si="26"/>
        <v>46463</v>
      </c>
      <c r="D197" s="152"/>
      <c r="E197" s="149"/>
      <c r="F197" s="149"/>
      <c r="G197" s="149"/>
      <c r="H197" s="149"/>
      <c r="I197" s="149"/>
      <c r="J197" s="149"/>
      <c r="K197" s="92"/>
      <c r="L197" s="154"/>
      <c r="M197" s="51"/>
      <c r="N197" s="92"/>
      <c r="O197" s="154"/>
      <c r="P197" s="51"/>
      <c r="X197" s="153"/>
      <c r="Y197" s="153"/>
      <c r="Z197" s="153"/>
      <c r="AA197" s="153"/>
      <c r="AB197" s="153"/>
      <c r="AC197" s="153"/>
      <c r="AD197" s="153"/>
      <c r="AE197" s="153"/>
    </row>
    <row r="198">
      <c r="A198" s="44">
        <f>A196</f>
        <v>24</v>
      </c>
      <c r="B198" s="45">
        <f t="shared" si="88"/>
        <v>46464</v>
      </c>
      <c r="C198" s="46">
        <f t="shared" si="26"/>
        <v>46464</v>
      </c>
      <c r="D198" s="152" t="s">
        <v>91</v>
      </c>
      <c r="E198" s="149"/>
      <c r="F198" s="149"/>
      <c r="G198" s="149"/>
      <c r="H198" s="149"/>
      <c r="I198" s="149"/>
      <c r="J198" s="149"/>
      <c r="K198" s="155"/>
      <c r="L198" s="154"/>
      <c r="M198" s="92"/>
      <c r="N198" s="92"/>
      <c r="O198" s="154"/>
      <c r="P198" s="92"/>
      <c r="X198" s="153"/>
      <c r="Y198" s="153"/>
      <c r="Z198" s="153"/>
      <c r="AA198" s="153"/>
      <c r="AB198" s="153"/>
      <c r="AC198" s="153"/>
      <c r="AD198" s="153"/>
      <c r="AE198" s="153"/>
    </row>
    <row r="199">
      <c r="A199" s="44">
        <f>A196</f>
        <v>24</v>
      </c>
      <c r="B199" s="45">
        <f t="shared" si="88"/>
        <v>46465</v>
      </c>
      <c r="C199" s="46">
        <f t="shared" si="26"/>
        <v>46465</v>
      </c>
      <c r="D199" s="152"/>
      <c r="E199" s="149"/>
      <c r="F199" s="149"/>
      <c r="G199" s="149"/>
      <c r="H199" s="149"/>
      <c r="I199" s="149"/>
      <c r="J199" s="149"/>
    </row>
    <row r="200">
      <c r="A200" s="95">
        <f t="shared" ref="A200:A201" si="89">A196</f>
        <v>24</v>
      </c>
      <c r="B200" s="77">
        <f t="shared" si="88"/>
        <v>46466</v>
      </c>
      <c r="C200" s="78">
        <f t="shared" si="26"/>
        <v>46466</v>
      </c>
      <c r="D200" s="152"/>
      <c r="E200" s="149"/>
      <c r="F200" s="149"/>
      <c r="G200" s="149"/>
      <c r="H200" s="149"/>
      <c r="I200" s="149"/>
      <c r="J200" s="149"/>
    </row>
    <row r="201">
      <c r="A201" s="107">
        <f t="shared" si="89"/>
        <v>24</v>
      </c>
      <c r="B201" s="108">
        <f t="shared" si="88"/>
        <v>46467</v>
      </c>
      <c r="C201" s="109">
        <f t="shared" si="26"/>
        <v>46467</v>
      </c>
      <c r="D201" s="152"/>
      <c r="E201" s="149"/>
      <c r="F201" s="149"/>
      <c r="G201" s="149"/>
      <c r="H201" s="149"/>
      <c r="I201" s="149"/>
      <c r="J201" s="149"/>
    </row>
    <row r="202">
      <c r="A202" s="131"/>
      <c r="B202" s="116">
        <f t="shared" si="88"/>
        <v>46468</v>
      </c>
      <c r="C202" s="117">
        <f t="shared" si="26"/>
        <v>46468</v>
      </c>
      <c r="D202" s="156"/>
      <c r="E202" s="157"/>
      <c r="F202" s="157"/>
      <c r="G202" s="158"/>
      <c r="H202" s="157"/>
      <c r="I202" s="157"/>
      <c r="J202" s="158"/>
      <c r="K202" s="159"/>
      <c r="L202" s="159"/>
      <c r="M202" s="159"/>
      <c r="N202" s="159"/>
      <c r="O202" s="159"/>
      <c r="P202" s="159"/>
    </row>
    <row r="203">
      <c r="A203" s="131"/>
      <c r="B203" s="116">
        <f t="shared" si="88"/>
        <v>46469</v>
      </c>
      <c r="C203" s="117">
        <f t="shared" si="26"/>
        <v>46469</v>
      </c>
      <c r="D203" s="157"/>
      <c r="E203" s="157"/>
      <c r="F203" s="157"/>
      <c r="G203" s="158"/>
      <c r="H203" s="157"/>
      <c r="I203" s="157"/>
      <c r="J203" s="158"/>
      <c r="K203" s="159"/>
      <c r="L203" s="159"/>
      <c r="M203" s="159"/>
      <c r="N203" s="159"/>
      <c r="O203" s="159"/>
      <c r="P203" s="159"/>
    </row>
  </sheetData>
  <mergeCells count="1">
    <mergeCell ref="B3:C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3.88"/>
    <col customWidth="1" min="3" max="3" width="63.75"/>
  </cols>
  <sheetData>
    <row r="1">
      <c r="A1" s="160" t="s">
        <v>92</v>
      </c>
      <c r="B1" s="13" t="s">
        <v>93</v>
      </c>
      <c r="C1" s="13" t="s">
        <v>94</v>
      </c>
    </row>
    <row r="2">
      <c r="A2" s="161" t="s">
        <v>95</v>
      </c>
      <c r="B2" s="161" t="s">
        <v>96</v>
      </c>
      <c r="C2" s="161" t="s">
        <v>97</v>
      </c>
      <c r="E2" s="13" t="s">
        <v>98</v>
      </c>
    </row>
    <row r="3">
      <c r="A3" s="153"/>
      <c r="B3" s="162" t="s">
        <v>99</v>
      </c>
      <c r="C3" s="163"/>
    </row>
    <row r="4">
      <c r="A4" s="153"/>
      <c r="B4" s="164" t="s">
        <v>100</v>
      </c>
      <c r="C4" s="164" t="s">
        <v>101</v>
      </c>
      <c r="E4" s="13" t="s">
        <v>102</v>
      </c>
      <c r="F4" s="13" t="s">
        <v>103</v>
      </c>
    </row>
    <row r="5">
      <c r="A5" s="153"/>
      <c r="B5" s="164" t="s">
        <v>104</v>
      </c>
      <c r="C5" s="164" t="s">
        <v>105</v>
      </c>
      <c r="E5" s="13" t="s">
        <v>106</v>
      </c>
      <c r="F5" s="13" t="s">
        <v>107</v>
      </c>
    </row>
    <row r="6">
      <c r="A6" s="153"/>
      <c r="B6" s="164" t="s">
        <v>108</v>
      </c>
      <c r="C6" s="164" t="s">
        <v>109</v>
      </c>
      <c r="E6" s="13" t="s">
        <v>110</v>
      </c>
      <c r="F6" s="13" t="s">
        <v>111</v>
      </c>
    </row>
    <row r="7">
      <c r="A7" s="153"/>
      <c r="B7" s="164" t="s">
        <v>112</v>
      </c>
      <c r="C7" s="164" t="s">
        <v>113</v>
      </c>
      <c r="E7" s="13" t="s">
        <v>114</v>
      </c>
      <c r="F7" s="13" t="s">
        <v>115</v>
      </c>
    </row>
    <row r="8">
      <c r="A8" s="153"/>
      <c r="B8" s="164" t="s">
        <v>116</v>
      </c>
      <c r="C8" s="164" t="s">
        <v>117</v>
      </c>
    </row>
    <row r="9">
      <c r="A9" s="153"/>
      <c r="B9" s="163" t="s">
        <v>118</v>
      </c>
      <c r="C9" s="164" t="s">
        <v>119</v>
      </c>
    </row>
    <row r="10">
      <c r="A10" s="153"/>
      <c r="B10" s="165" t="s">
        <v>120</v>
      </c>
      <c r="C10" s="164" t="s">
        <v>121</v>
      </c>
    </row>
    <row r="11">
      <c r="A11" s="153"/>
      <c r="B11" s="165" t="s">
        <v>122</v>
      </c>
      <c r="C11" s="164" t="s">
        <v>123</v>
      </c>
    </row>
    <row r="12">
      <c r="A12" s="153"/>
      <c r="B12" s="165" t="s">
        <v>124</v>
      </c>
      <c r="C12" s="166" t="s">
        <v>125</v>
      </c>
    </row>
    <row r="13">
      <c r="A13" s="153"/>
      <c r="B13" s="167" t="s">
        <v>126</v>
      </c>
      <c r="C13" s="168"/>
    </row>
    <row r="14">
      <c r="A14" s="153"/>
      <c r="B14" s="167" t="s">
        <v>127</v>
      </c>
      <c r="C14" s="168"/>
    </row>
    <row r="15">
      <c r="A15" s="153"/>
      <c r="B15" s="167" t="s">
        <v>128</v>
      </c>
      <c r="C15" s="168"/>
    </row>
    <row r="16">
      <c r="A16" s="153"/>
      <c r="B16" s="169" t="s">
        <v>129</v>
      </c>
      <c r="C16" s="170"/>
    </row>
    <row r="17">
      <c r="A17" s="161" t="s">
        <v>130</v>
      </c>
      <c r="B17" s="161" t="s">
        <v>131</v>
      </c>
      <c r="C17" s="161" t="s">
        <v>132</v>
      </c>
    </row>
    <row r="18">
      <c r="A18" s="153"/>
      <c r="B18" s="171" t="s">
        <v>133</v>
      </c>
      <c r="C18" s="163"/>
    </row>
    <row r="19">
      <c r="A19" s="153"/>
      <c r="B19" s="162" t="s">
        <v>134</v>
      </c>
      <c r="C19" s="165" t="s">
        <v>135</v>
      </c>
    </row>
    <row r="20">
      <c r="A20" s="153"/>
      <c r="B20" s="164" t="s">
        <v>136</v>
      </c>
      <c r="C20" s="165" t="s">
        <v>137</v>
      </c>
    </row>
    <row r="21">
      <c r="A21" s="153"/>
      <c r="B21" s="164" t="s">
        <v>138</v>
      </c>
      <c r="C21" s="165" t="s">
        <v>139</v>
      </c>
    </row>
    <row r="22">
      <c r="A22" s="153"/>
      <c r="B22" s="164" t="s">
        <v>140</v>
      </c>
      <c r="C22" s="165" t="s">
        <v>141</v>
      </c>
    </row>
    <row r="23">
      <c r="A23" s="153"/>
      <c r="B23" s="164" t="s">
        <v>142</v>
      </c>
      <c r="C23" s="165" t="s">
        <v>143</v>
      </c>
    </row>
    <row r="24">
      <c r="A24" s="153"/>
      <c r="B24" s="164" t="s">
        <v>144</v>
      </c>
      <c r="C24" s="165" t="s">
        <v>145</v>
      </c>
    </row>
    <row r="25">
      <c r="A25" s="153"/>
      <c r="B25" s="164" t="s">
        <v>146</v>
      </c>
      <c r="C25" s="165" t="s">
        <v>147</v>
      </c>
    </row>
    <row r="26">
      <c r="A26" s="153"/>
      <c r="B26" s="164" t="s">
        <v>148</v>
      </c>
      <c r="C26" s="165" t="s">
        <v>149</v>
      </c>
    </row>
    <row r="27">
      <c r="A27" s="153"/>
      <c r="B27" s="162" t="s">
        <v>150</v>
      </c>
      <c r="C27" s="165" t="s">
        <v>151</v>
      </c>
    </row>
    <row r="28">
      <c r="A28" s="153"/>
      <c r="B28" s="164" t="s">
        <v>152</v>
      </c>
      <c r="C28" s="164"/>
    </row>
    <row r="29">
      <c r="A29" s="153"/>
      <c r="B29" s="164" t="s">
        <v>153</v>
      </c>
      <c r="C29" s="164"/>
    </row>
    <row r="30">
      <c r="A30" s="153"/>
      <c r="B30" s="164" t="s">
        <v>154</v>
      </c>
      <c r="C30" s="164"/>
    </row>
    <row r="31">
      <c r="A31" s="153"/>
      <c r="B31" s="164" t="s">
        <v>155</v>
      </c>
      <c r="C31" s="164"/>
    </row>
    <row r="32">
      <c r="A32" s="161" t="s">
        <v>156</v>
      </c>
      <c r="B32" s="161" t="s">
        <v>157</v>
      </c>
      <c r="C32" s="161" t="s">
        <v>158</v>
      </c>
    </row>
    <row r="33">
      <c r="A33" s="153"/>
      <c r="B33" s="172" t="s">
        <v>159</v>
      </c>
      <c r="C33" s="172" t="s">
        <v>160</v>
      </c>
    </row>
    <row r="34">
      <c r="A34" s="153"/>
      <c r="B34" s="173" t="s">
        <v>161</v>
      </c>
      <c r="C34" s="172" t="s">
        <v>162</v>
      </c>
    </row>
    <row r="35">
      <c r="A35" s="153"/>
      <c r="B35" s="173" t="s">
        <v>163</v>
      </c>
      <c r="C35" s="173" t="s">
        <v>164</v>
      </c>
    </row>
    <row r="36">
      <c r="A36" s="153"/>
      <c r="B36" s="173" t="s">
        <v>165</v>
      </c>
      <c r="C36" s="172" t="s">
        <v>166</v>
      </c>
    </row>
    <row r="37">
      <c r="A37" s="153"/>
      <c r="B37" s="173" t="s">
        <v>167</v>
      </c>
      <c r="C37" s="172" t="s">
        <v>168</v>
      </c>
    </row>
    <row r="38">
      <c r="A38" s="153"/>
      <c r="B38" s="173" t="s">
        <v>169</v>
      </c>
      <c r="C38" s="173" t="s">
        <v>170</v>
      </c>
    </row>
    <row r="39">
      <c r="A39" s="153"/>
      <c r="B39" s="174" t="s">
        <v>171</v>
      </c>
      <c r="C39" s="172" t="s">
        <v>172</v>
      </c>
    </row>
    <row r="40">
      <c r="A40" s="153"/>
      <c r="B40" s="173" t="s">
        <v>173</v>
      </c>
      <c r="C40" s="173" t="s">
        <v>174</v>
      </c>
    </row>
    <row r="41">
      <c r="A41" s="153"/>
      <c r="B41" s="173" t="s">
        <v>175</v>
      </c>
      <c r="C41" s="172" t="s">
        <v>176</v>
      </c>
    </row>
    <row r="42">
      <c r="A42" s="153"/>
      <c r="B42" s="174" t="s">
        <v>177</v>
      </c>
      <c r="C42" s="173" t="s">
        <v>178</v>
      </c>
    </row>
    <row r="43">
      <c r="A43" s="153"/>
      <c r="B43" s="173" t="s">
        <v>179</v>
      </c>
      <c r="C43" s="172" t="s">
        <v>180</v>
      </c>
    </row>
    <row r="44">
      <c r="A44" s="153"/>
      <c r="B44" s="173" t="s">
        <v>181</v>
      </c>
    </row>
    <row r="45">
      <c r="A45" s="153"/>
      <c r="B45" s="173" t="s">
        <v>182</v>
      </c>
    </row>
    <row r="46">
      <c r="A46" s="161" t="s">
        <v>183</v>
      </c>
      <c r="B46" s="161" t="s">
        <v>184</v>
      </c>
      <c r="C46" s="161" t="s">
        <v>185</v>
      </c>
    </row>
    <row r="47">
      <c r="A47" s="153"/>
      <c r="B47" s="162" t="s">
        <v>186</v>
      </c>
      <c r="C47" s="162"/>
    </row>
    <row r="48">
      <c r="A48" s="153"/>
      <c r="B48" s="164" t="s">
        <v>187</v>
      </c>
      <c r="C48" s="165" t="s">
        <v>188</v>
      </c>
    </row>
    <row r="49">
      <c r="A49" s="153"/>
      <c r="B49" s="164" t="s">
        <v>189</v>
      </c>
      <c r="C49" s="165" t="s">
        <v>190</v>
      </c>
    </row>
    <row r="50">
      <c r="A50" s="153"/>
      <c r="B50" s="164" t="s">
        <v>191</v>
      </c>
      <c r="C50" s="165" t="s">
        <v>192</v>
      </c>
    </row>
    <row r="51">
      <c r="A51" s="153"/>
      <c r="B51" s="164" t="s">
        <v>193</v>
      </c>
      <c r="C51" s="165" t="s">
        <v>194</v>
      </c>
    </row>
    <row r="52">
      <c r="A52" s="153"/>
      <c r="B52" s="164" t="s">
        <v>195</v>
      </c>
      <c r="C52" s="165" t="s">
        <v>196</v>
      </c>
    </row>
    <row r="53">
      <c r="A53" s="153"/>
      <c r="B53" s="164" t="s">
        <v>197</v>
      </c>
      <c r="C53" s="165" t="s">
        <v>198</v>
      </c>
    </row>
    <row r="54">
      <c r="A54" s="153"/>
      <c r="B54" s="164" t="s">
        <v>199</v>
      </c>
      <c r="C54" s="165" t="s">
        <v>200</v>
      </c>
    </row>
    <row r="55">
      <c r="A55" s="153"/>
      <c r="B55" s="164"/>
      <c r="C55" s="165" t="s">
        <v>201</v>
      </c>
    </row>
    <row r="56">
      <c r="A56" s="161" t="s">
        <v>202</v>
      </c>
      <c r="B56" s="161" t="s">
        <v>203</v>
      </c>
      <c r="C56" s="161" t="s">
        <v>204</v>
      </c>
    </row>
    <row r="57">
      <c r="A57" s="153"/>
      <c r="B57" s="173" t="s">
        <v>205</v>
      </c>
      <c r="C57" s="172" t="s">
        <v>206</v>
      </c>
    </row>
    <row r="58">
      <c r="A58" s="153"/>
      <c r="B58" s="173" t="s">
        <v>207</v>
      </c>
      <c r="C58" s="172" t="s">
        <v>208</v>
      </c>
    </row>
    <row r="59">
      <c r="A59" s="153"/>
      <c r="B59" s="173" t="s">
        <v>209</v>
      </c>
      <c r="C59" s="172" t="s">
        <v>210</v>
      </c>
    </row>
    <row r="60">
      <c r="A60" s="153"/>
      <c r="B60" s="173" t="s">
        <v>211</v>
      </c>
      <c r="C60" s="172" t="s">
        <v>212</v>
      </c>
    </row>
    <row r="61">
      <c r="A61" s="153"/>
      <c r="B61" s="175" t="s">
        <v>213</v>
      </c>
      <c r="C61" s="172" t="s">
        <v>214</v>
      </c>
    </row>
    <row r="62">
      <c r="A62" s="153"/>
      <c r="B62" s="173" t="s">
        <v>215</v>
      </c>
      <c r="C62" s="172" t="s">
        <v>216</v>
      </c>
    </row>
    <row r="63">
      <c r="A63" s="153"/>
      <c r="B63" s="175"/>
      <c r="C63" s="172" t="s">
        <v>217</v>
      </c>
    </row>
    <row r="64">
      <c r="A64" s="153"/>
      <c r="B64" s="175"/>
      <c r="C64" s="172" t="s">
        <v>218</v>
      </c>
    </row>
    <row r="65">
      <c r="A65" s="153"/>
      <c r="B65" s="175"/>
      <c r="C65" s="176" t="s">
        <v>219</v>
      </c>
    </row>
    <row r="66">
      <c r="A66" s="161" t="s">
        <v>114</v>
      </c>
      <c r="B66" s="177" t="s">
        <v>220</v>
      </c>
      <c r="C66" s="178" t="s">
        <v>221</v>
      </c>
    </row>
    <row r="67">
      <c r="A67" s="179"/>
      <c r="B67" s="180" t="s">
        <v>222</v>
      </c>
      <c r="C67" s="181"/>
    </row>
    <row r="68">
      <c r="A68" s="153"/>
      <c r="B68" s="182" t="s">
        <v>223</v>
      </c>
      <c r="C68" s="165" t="s">
        <v>224</v>
      </c>
    </row>
    <row r="69">
      <c r="A69" s="153"/>
      <c r="B69" s="182" t="s">
        <v>225</v>
      </c>
      <c r="C69" s="165" t="s">
        <v>226</v>
      </c>
    </row>
    <row r="70">
      <c r="A70" s="153"/>
      <c r="B70" s="182" t="s">
        <v>227</v>
      </c>
      <c r="C70" s="165" t="s">
        <v>228</v>
      </c>
    </row>
    <row r="71">
      <c r="A71" s="153"/>
      <c r="B71" s="182" t="s">
        <v>229</v>
      </c>
      <c r="C71" s="165" t="s">
        <v>230</v>
      </c>
    </row>
    <row r="72">
      <c r="A72" s="153"/>
      <c r="B72" s="182" t="s">
        <v>231</v>
      </c>
      <c r="C72" s="165" t="s">
        <v>232</v>
      </c>
    </row>
    <row r="73">
      <c r="A73" s="153"/>
      <c r="B73" s="182" t="s">
        <v>233</v>
      </c>
      <c r="C73" s="165" t="s">
        <v>234</v>
      </c>
    </row>
    <row r="74">
      <c r="A74" s="153"/>
      <c r="B74" s="182" t="s">
        <v>235</v>
      </c>
      <c r="C74" s="165" t="s">
        <v>236</v>
      </c>
    </row>
    <row r="75">
      <c r="A75" s="153"/>
      <c r="B75" s="182" t="s">
        <v>237</v>
      </c>
      <c r="C75" s="165" t="s">
        <v>238</v>
      </c>
    </row>
    <row r="76">
      <c r="A76" s="153"/>
      <c r="B76" s="182" t="s">
        <v>239</v>
      </c>
      <c r="C76" s="165" t="s">
        <v>240</v>
      </c>
    </row>
    <row r="77">
      <c r="A77" s="153"/>
      <c r="B77" s="182" t="s">
        <v>241</v>
      </c>
      <c r="C77" s="153"/>
    </row>
    <row r="78">
      <c r="A78" s="153"/>
      <c r="B78" s="182" t="s">
        <v>242</v>
      </c>
      <c r="C78" s="153"/>
    </row>
    <row r="79">
      <c r="A79" s="153"/>
      <c r="B79" s="182" t="s">
        <v>243</v>
      </c>
      <c r="C79" s="153"/>
    </row>
    <row r="80">
      <c r="A80" s="153"/>
      <c r="B80" s="182" t="s">
        <v>244</v>
      </c>
      <c r="C80" s="153"/>
    </row>
    <row r="81">
      <c r="A81" s="153"/>
      <c r="B81" s="165" t="s">
        <v>245</v>
      </c>
      <c r="C81" s="153"/>
    </row>
    <row r="82">
      <c r="A82" s="161" t="s">
        <v>246</v>
      </c>
      <c r="B82" s="177" t="s">
        <v>247</v>
      </c>
      <c r="C82" s="178" t="s">
        <v>248</v>
      </c>
    </row>
    <row r="83">
      <c r="B83" s="172" t="s">
        <v>249</v>
      </c>
      <c r="C83" s="172" t="s">
        <v>250</v>
      </c>
    </row>
    <row r="84">
      <c r="B84" s="172" t="s">
        <v>251</v>
      </c>
      <c r="C84" s="172" t="s">
        <v>252</v>
      </c>
    </row>
    <row r="85">
      <c r="B85" s="173"/>
      <c r="C85" s="172" t="s">
        <v>253</v>
      </c>
    </row>
    <row r="86">
      <c r="B86" s="173"/>
      <c r="C86" s="172" t="s">
        <v>254</v>
      </c>
    </row>
    <row r="87">
      <c r="B87" s="173"/>
      <c r="C87" s="172" t="s">
        <v>255</v>
      </c>
    </row>
    <row r="88">
      <c r="B88" s="173"/>
      <c r="C88" s="172" t="s">
        <v>256</v>
      </c>
    </row>
    <row r="89">
      <c r="B89" s="173"/>
      <c r="C89" s="172" t="s">
        <v>257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</cols>
  <sheetData>
    <row r="4">
      <c r="C4" s="183" t="s">
        <v>258</v>
      </c>
      <c r="D4" s="183" t="s">
        <v>259</v>
      </c>
      <c r="E4" s="183" t="s">
        <v>260</v>
      </c>
      <c r="F4" s="183" t="s">
        <v>261</v>
      </c>
      <c r="G4" s="183" t="s">
        <v>262</v>
      </c>
    </row>
    <row r="5">
      <c r="B5" s="184" t="s">
        <v>263</v>
      </c>
      <c r="C5" s="185"/>
      <c r="D5" s="185"/>
      <c r="E5" s="185"/>
      <c r="F5" s="185"/>
      <c r="G5" s="185"/>
    </row>
    <row r="6">
      <c r="B6" s="184" t="s">
        <v>264</v>
      </c>
      <c r="C6" s="185"/>
      <c r="D6" s="185"/>
      <c r="E6" s="185"/>
      <c r="F6" s="185"/>
      <c r="G6" s="185"/>
    </row>
    <row r="7">
      <c r="B7" s="184" t="s">
        <v>265</v>
      </c>
      <c r="C7" s="185"/>
      <c r="D7" s="185"/>
      <c r="E7" s="185"/>
      <c r="F7" s="185"/>
      <c r="G7" s="185"/>
    </row>
    <row r="8">
      <c r="B8" s="184" t="s">
        <v>266</v>
      </c>
      <c r="C8" s="185"/>
      <c r="D8" s="185"/>
      <c r="E8" s="185"/>
      <c r="F8" s="185"/>
      <c r="G8" s="185"/>
    </row>
    <row r="9">
      <c r="B9" s="184" t="s">
        <v>267</v>
      </c>
      <c r="C9" s="185"/>
      <c r="D9" s="185"/>
      <c r="E9" s="185"/>
      <c r="F9" s="185"/>
      <c r="G9" s="185"/>
    </row>
    <row r="10">
      <c r="B10" s="184" t="s">
        <v>268</v>
      </c>
      <c r="C10" s="185"/>
      <c r="D10" s="185"/>
      <c r="E10" s="185"/>
      <c r="F10" s="185"/>
      <c r="G10" s="185"/>
    </row>
    <row r="11">
      <c r="B11" s="184" t="s">
        <v>269</v>
      </c>
      <c r="C11" s="185"/>
      <c r="D11" s="185"/>
      <c r="E11" s="185"/>
      <c r="F11" s="185"/>
      <c r="G11" s="185"/>
    </row>
    <row r="12">
      <c r="B12" s="184" t="s">
        <v>270</v>
      </c>
      <c r="C12" s="185"/>
      <c r="D12" s="185"/>
      <c r="E12" s="185"/>
      <c r="F12" s="185"/>
      <c r="G12" s="185"/>
    </row>
    <row r="13">
      <c r="B13" s="184" t="s">
        <v>271</v>
      </c>
      <c r="C13" s="186" t="s">
        <v>272</v>
      </c>
      <c r="D13" s="185"/>
      <c r="E13" s="185"/>
      <c r="F13" s="185"/>
      <c r="G13" s="185"/>
    </row>
    <row r="14">
      <c r="B14" s="184" t="s">
        <v>273</v>
      </c>
      <c r="C14" s="185"/>
      <c r="D14" s="185"/>
      <c r="E14" s="185"/>
      <c r="F14" s="185"/>
      <c r="G14" s="185"/>
    </row>
    <row r="15">
      <c r="B15" s="184" t="s">
        <v>274</v>
      </c>
      <c r="C15" s="187" t="s">
        <v>275</v>
      </c>
      <c r="D15" s="185"/>
      <c r="E15" s="185"/>
      <c r="F15" s="188" t="s">
        <v>31</v>
      </c>
      <c r="G15" s="185"/>
    </row>
    <row r="16">
      <c r="B16" s="184" t="s">
        <v>276</v>
      </c>
      <c r="C16" s="188" t="s">
        <v>31</v>
      </c>
      <c r="D16" s="185"/>
      <c r="E16" s="185"/>
      <c r="F16" s="188" t="s">
        <v>31</v>
      </c>
      <c r="G16" s="185"/>
    </row>
    <row r="18">
      <c r="C18" s="188" t="s">
        <v>277</v>
      </c>
    </row>
  </sheetData>
  <drawing r:id="rId1"/>
</worksheet>
</file>