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s" sheetId="1" r:id="rId4"/>
    <sheet state="visible" name="Horaris" sheetId="2" r:id="rId5"/>
    <sheet state="visible" name="Històries" sheetId="3" r:id="rId6"/>
    <sheet state="visible" name="Material" sheetId="4" r:id="rId7"/>
    <sheet state="visible" name="GRUPS" sheetId="5" r:id="rId8"/>
    <sheet state="visible" name="kit" sheetId="6" r:id="rId9"/>
    <sheet state="visible" name="Enllaços" sheetId="7" r:id="rId10"/>
    <sheet state="hidden" name="Aules" sheetId="8" r:id="rId11"/>
    <sheet state="visible" name="Tribunals" sheetId="9" r:id="rId12"/>
    <sheet state="visible" name="WorkFlow" sheetId="10" r:id="rId13"/>
    <sheet state="hidden" name="TaulaActivitats" sheetId="11" r:id="rId14"/>
    <sheet state="visible" name="FAQ" sheetId="12" r:id="rId15"/>
    <sheet state="visible" name="Assistencia" sheetId="13" r:id="rId16"/>
    <sheet state="visible" name="Seguiment" sheetId="14" r:id="rId17"/>
    <sheet state="visible" name="inventari" sheetId="15" r:id="rId18"/>
    <sheet state="visible" name="Questions material" sheetId="16" r:id="rId19"/>
  </sheets>
  <definedNames>
    <definedName hidden="1" localSheetId="4" name="_xlnm._FilterDatabase">GRUPS!$A$1:$X$83</definedName>
    <definedName hidden="1" localSheetId="7" name="_xlnm._FilterDatabase">Aules!$A$1:$Z$50</definedName>
    <definedName hidden="1" localSheetId="11" name="_xlnm._FilterDatabase">FAQ!$A$2:$B$1000</definedName>
    <definedName hidden="1" localSheetId="12" name="Z_7C8CC3EE_4087_4C26_BB8F_CAEAACA8C307_.wvu.FilterData">Assistencia!$BR$52:$BW$71</definedName>
    <definedName hidden="1" localSheetId="13" name="Z_7C8CC3EE_4087_4C26_BB8F_CAEAACA8C307_.wvu.FilterData">Seguiment!$BR$52:$BW$71</definedName>
    <definedName hidden="1" localSheetId="12" name="Z_66B9217E_5AE3_4E3D_93A7_9BAD8F79064D_.wvu.FilterData">Assistencia!$BP$52:$BW$71</definedName>
    <definedName hidden="1" localSheetId="13" name="Z_66B9217E_5AE3_4E3D_93A7_9BAD8F79064D_.wvu.FilterData">Seguiment!$BP$52:$BW$71</definedName>
  </definedNames>
  <calcPr/>
  <customWorkbookViews>
    <customWorkbookView activeSheetId="0" maximized="1" windowHeight="0" windowWidth="0" guid="{7C8CC3EE-4087-4C26-BB8F-CAEAACA8C307}" name="Filtra per 1"/>
    <customWorkbookView activeSheetId="0" maximized="1" windowHeight="0" windowWidth="0" guid="{66B9217E-5AE3-4E3D-93A7-9BAD8F79064D}" name="Filtra p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7">
      <text>
        <t xml:space="preserve">Port Aventura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W15">
      <text>
        <t xml:space="preserve">Justificada, metge</t>
      </text>
    </comment>
    <comment authorId="0" ref="AX15">
      <text>
        <t xml:space="preserve">Justificada, metge</t>
      </text>
    </comment>
    <comment authorId="0" ref="AW56">
      <text>
        <t xml:space="preserve">Missatge</t>
      </text>
    </comment>
    <comment authorId="0" ref="O5">
      <text>
        <t xml:space="preserve">Setmana de recuperacions</t>
      </text>
    </comment>
    <comment authorId="0" ref="BD44">
      <text>
        <t xml:space="preserve">No hi era a la 4a hora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W15">
      <text>
        <t xml:space="preserve">Justificada, metge</t>
      </text>
    </comment>
    <comment authorId="0" ref="AX15">
      <text>
        <t xml:space="preserve">Justificada, metge</t>
      </text>
    </comment>
    <comment authorId="0" ref="AW56">
      <text>
        <t xml:space="preserve">Missatge</t>
      </text>
    </comment>
    <comment authorId="0" ref="O5">
      <text>
        <t xml:space="preserve">Setmana de recuperacions</t>
      </text>
    </comment>
    <comment authorId="0" ref="BD44">
      <text>
        <t xml:space="preserve">No hi era a la 4a hora
</t>
      </text>
    </comment>
  </commentList>
</comments>
</file>

<file path=xl/sharedStrings.xml><?xml version="1.0" encoding="utf-8"?>
<sst xmlns="http://schemas.openxmlformats.org/spreadsheetml/2006/main" count="1936" uniqueCount="695">
  <si>
    <t>Relació d'sprints</t>
  </si>
  <si>
    <t>ACTUAL</t>
  </si>
  <si>
    <t>Sprint</t>
  </si>
  <si>
    <t>Data Inici</t>
  </si>
  <si>
    <t>Data Fi</t>
  </si>
  <si>
    <t>Temàtica</t>
  </si>
  <si>
    <t>Mòduls molt</t>
  </si>
  <si>
    <t>Mòduls poc</t>
  </si>
  <si>
    <t>Continguts</t>
  </si>
  <si>
    <t>Històries</t>
  </si>
  <si>
    <t>SMX2A1</t>
  </si>
  <si>
    <t>SMX2A2</t>
  </si>
  <si>
    <t>Març 2025</t>
  </si>
  <si>
    <t xml:space="preserve">Sprint </t>
  </si>
  <si>
    <t>SMX2B1</t>
  </si>
  <si>
    <t>Història</t>
  </si>
  <si>
    <t>Abril 2025</t>
  </si>
  <si>
    <t>Dilluns</t>
  </si>
  <si>
    <t>Dimarts</t>
  </si>
  <si>
    <t>Maig 2025</t>
  </si>
  <si>
    <t>Dimecres</t>
  </si>
  <si>
    <t>Dijous</t>
  </si>
  <si>
    <t>Divendres</t>
  </si>
  <si>
    <t>Documentació relacionada</t>
  </si>
  <si>
    <t>Explicacions SCRUM</t>
  </si>
  <si>
    <t>---</t>
  </si>
  <si>
    <t>M4, M5</t>
  </si>
  <si>
    <t>M7
R. Sánchez
023</t>
  </si>
  <si>
    <t>M4
J. Ferrés
024</t>
  </si>
  <si>
    <t>M1, M2, M3, M7</t>
  </si>
  <si>
    <t>SMX2A
Tutoria
J. Ferrés
024</t>
  </si>
  <si>
    <t>Definició d'objectius i planificació</t>
  </si>
  <si>
    <t>M7
O. López
023</t>
  </si>
  <si>
    <t>M7
O. López
024</t>
  </si>
  <si>
    <t>dl</t>
  </si>
  <si>
    <t>M7
O. López
026</t>
  </si>
  <si>
    <t>Per a organitzar l'empresa necessitem una xarxa local amb accés a Internet. De moment tenim 10 treballadors, un equip d'IT (vosaltres) i el gerent. Disposem de 2 raspberry pi, 1 mikrotik i suficients PC per al muntatge</t>
  </si>
  <si>
    <t>M8
O. Aspas
024</t>
  </si>
  <si>
    <t>dm</t>
  </si>
  <si>
    <t>dc</t>
  </si>
  <si>
    <t>dj</t>
  </si>
  <si>
    <t>dv</t>
  </si>
  <si>
    <t>ds</t>
  </si>
  <si>
    <t>dg</t>
  </si>
  <si>
    <t>M6
P. Tomé
026</t>
  </si>
  <si>
    <t>M4
J. Costa
023</t>
  </si>
  <si>
    <t>SMX2B
Tutoria
O. López
026</t>
  </si>
  <si>
    <t>M7
R. Sánchez
024</t>
  </si>
  <si>
    <t>M4
J. Ferrés
023</t>
  </si>
  <si>
    <r>
      <rPr>
        <b/>
      </rPr>
      <t>Mapa lògic, Disseny de la xarxa: Mínims per a ser apte</t>
    </r>
    <r>
      <rPr/>
      <t xml:space="preserve">
Adreçament: Ip’s vàlides en entorn local, màscares i gateways adequats.
Concordancia de les IP's del mapa lògic amb els fitxers de configuració dels serveis instal·lats
dns, noms de hosts, etc.
Taula o document explicatiu sobre l’adreçament de la LAN (assignació IP’s, màscara i gateway) per a tots els dispositius de xarxa que ho necessitin. Tant mitjançant una taula o al mateix plànol lògic.
Justificació del disseny 
Connexió a Internet</t>
    </r>
  </si>
  <si>
    <t>Configuració de la base del sistema</t>
  </si>
  <si>
    <t>M6
P. Tomé
023</t>
  </si>
  <si>
    <t>M4
J. Ferrés
026</t>
  </si>
  <si>
    <t>Planificació i muntatge de la xarxa (WAN, LAN, WIFI)</t>
  </si>
  <si>
    <t>M4
J. Costa
026</t>
  </si>
  <si>
    <t>M8
E. Gutierrez
023</t>
  </si>
  <si>
    <t>M8
E. Gutierrez
026</t>
  </si>
  <si>
    <t>Manual d'ús de la wifi per part dels usuari (mòbil, laptop)
Manual d'instal·lació i de configuració de la wifi incloent com fer canvis (passwords, reservar IP...)</t>
  </si>
  <si>
    <t>M6
V. Martín
024</t>
  </si>
  <si>
    <t>M6
P. Tomé
024</t>
  </si>
  <si>
    <t>Necessitem una xarxa wifi per els treballadors itinerants (portàtils) i una altre per als mòbils</t>
  </si>
  <si>
    <t>Manuals de configuració i administració</t>
  </si>
  <si>
    <t>ProjecteFOL
M. Monteagud
023</t>
  </si>
  <si>
    <t>M6
V. Martín
023</t>
  </si>
  <si>
    <t xml:space="preserve">La resta dels nostres treballadors no són informàtics i, per tant, necessitem que la configuració de xarxa funcioni correctament i sense que hagin de fer res. No volem haver de posar IP i coses estranyes MAI. </t>
  </si>
  <si>
    <t>SO: Controlador de domini, clients, rpi, pfsense) Instal·lar</t>
  </si>
  <si>
    <t>M8
O. Aspas
026</t>
  </si>
  <si>
    <t>Mapa físic-lògic (sense plànol) indicant quins equips són virtuals i quins físics</t>
  </si>
  <si>
    <t>SMX2B
ProjecteFOL
M. Monteagud
025</t>
  </si>
  <si>
    <t>Físicament tenim 3 despatxos per als departaments RRHH i COMPTABILITAT i TIC i un CPD. Al CPD només hi ha racks no s'hi pot treballar allà a no ser que sigui una urgència. Heu de poder administrar els servidors remotament</t>
  </si>
  <si>
    <t>Justificació de les versions de sistema operatiu, preus, llicències.</t>
  </si>
  <si>
    <t>V.martin</t>
  </si>
  <si>
    <t>Els departaments RRHH i COMPTABILITAT necessiten treballar amb Windows mentrés que IT ho farà amb Linux</t>
  </si>
  <si>
    <t>ProjecteFOL
M. Monteag</t>
  </si>
  <si>
    <t>LECTIVES</t>
  </si>
  <si>
    <t>Mireu la pestanya de material. Allà teniu els dispositius que podeu fer servir. Una de les Raspberry Pi ha de ser un dels servidors</t>
  </si>
  <si>
    <t>M6
P. Tomé
02</t>
  </si>
  <si>
    <t>Controladors de domini: Usuaris, grups i carpetes compartides</t>
  </si>
  <si>
    <t>Serveis bàsics per a la xarxa (DHCP, DNS, SSH)</t>
  </si>
  <si>
    <t>PROPOSTA</t>
  </si>
  <si>
    <t>Integració usuaris a equips client Linux / Windows</t>
  </si>
  <si>
    <t>Manual Integració usuaris a equips client Linux / Windows</t>
  </si>
  <si>
    <t>single sign on</t>
  </si>
  <si>
    <t>Web</t>
  </si>
  <si>
    <t>Cal disposar d'un pla de contingència que inclogui les còpies de seguretat. 
Cal considerar al menys el model 3-2-1 per poder assegurar un retorn a l'activitat habitual en el menor temps possible. 
Cal pensar en tots els aspectes: dispositius de xarxa configurables, ordinadors d'usuaris, dades dels usuaris, configuració de serveis, bases de dades, fitxers del servei web, etc. 
També cal conscienciar els usuaris sobre la seguretat de les contrasenyes i de tota mena d'amenaces de malware. Cal posar les mesures de seguretat que permetin mitigar els atacs esmentats, tant a màquines client com a servidors. 
En tot moment s'ha de respectar la legalitat vigent, com a mínim les Lleis específiques LOPD-GDD, LSSI-CE i LPI.
No cal oblidar la documentació que es va desenvolupant durant el projecte.</t>
  </si>
  <si>
    <t>M8, M4 I M6</t>
  </si>
  <si>
    <t xml:space="preserve"> </t>
  </si>
  <si>
    <r>
      <rPr>
        <b/>
      </rPr>
      <t>Necessitem un gestor de continguts web</t>
    </r>
    <r>
      <rPr/>
      <t xml:space="preserve"> per a la implementació de la web de l’empresa client i la seva botiga online. Ha de ser accessible el servei des de Internet i la intranet. 
Les característiques haurien de cobrir les següents expectatives:
Servei de bases de dades relacionals per gestionar les dades de les aplicacions web i gestors de continguts 
Necessitem que l'idioma estigui en català i l’anglès.
Ha de ser visible de forma correcte amb mòbil o tablet.
Hem de poder veure l'imatge i els colors corporatius de l'empresa.
També volem que estigui sempre tot correctament actualitzat i securitzat.
</t>
    </r>
  </si>
  <si>
    <t>Adaptadors RJ45-USB</t>
  </si>
  <si>
    <t>switch 
Mikrotik</t>
  </si>
  <si>
    <t>switch
 Mikrotik AP</t>
  </si>
  <si>
    <t>Switch 5 ports</t>
  </si>
  <si>
    <t>Switch 8 ports</t>
  </si>
  <si>
    <r>
      <rPr>
        <b/>
      </rPr>
      <t>CMS.</t>
    </r>
    <r>
      <rPr/>
      <t xml:space="preserve">
Web corporativa.
Manual d'ús per part dels usuaris, manual d'instal·lació i de configuració
Documentació de l'elecció d'aquest CMS en comparació amb altres existents.
Pressupost el cost d'aquest software, si en té, hores d'instal·lació, manteniment., etc. Relacionar-ho amb el hardware en termes de eficiència, adaptat al servei que ha de donar. 
Requeriments necessaris a nivell de maquinari i pre-requisits.
Integració dels diferents usuaris/perfils.
Realització de proves de funcionament i memòria de totes les proves realitzades. 
Enquestes i fòrum dins del gestor. 
Traductor del contingut a l'anglès. S'ha de poder accedir a aquesta en anglès i que funcioni.
Personalització amb l'Imatge i colors de l’empresa client.
Documentació de les incidències i errors apareguts i les solucions aportades a aquestes en tot el procés.
Mecanismes de seguretat proporcionats pel propi CMS i externs a ell.
Tasques d'actualització i de còpies de seguretat del gestor de continguts.*
Single sign on.
* Aquest apartat pot no realitzar-se si és redundant amb la part de seguretat i còpies de seguretat genèriques. </t>
    </r>
  </si>
  <si>
    <t>Switch</t>
  </si>
  <si>
    <t>cable ethernet</t>
  </si>
  <si>
    <t>web</t>
  </si>
  <si>
    <t xml:space="preserve">Raspberry Pi 4 </t>
  </si>
  <si>
    <t>Raspberry Pi 5</t>
  </si>
  <si>
    <t>Lector SD</t>
  </si>
  <si>
    <t>Roger</t>
  </si>
  <si>
    <t>Cable HDMI</t>
  </si>
  <si>
    <r>
      <rPr>
        <b/>
      </rPr>
      <t>També haurem de disposar  d'un LMS</t>
    </r>
    <r>
      <rPr/>
      <t xml:space="preserve"> per a l’empresa client que serveixi d’espai per a fer consultes als seus treballadors i formació a aquests. 
Necessitarem tenir dos cursos: un de “funcionament de l’empresa” (amb documents sobre normes generals, consultes/forums com el calendari laboral de l’any següent o aportació d’idees de nous productes/negocis, etc.) i un altre curs de temàtica lliure (relacionada amb l’empresa) i complexitat similar a la de la web corporativa. 
Servei de bases de dades relacionals per gestionar les dades de les aplicacions web i gestors de continguts
Necessitem que l'idioma estigui en català i anglès.
Hem de poder veure l'imatge i els colors corporatius de l'empresa.
També volem que estigui sempre tot correctament actualitzat i securitzat. 
</t>
    </r>
  </si>
  <si>
    <t>SD 32 GB</t>
  </si>
  <si>
    <t>SD 64 GB</t>
  </si>
  <si>
    <t>cable usb-c</t>
  </si>
  <si>
    <t>Transformadors/endoll hub usb</t>
  </si>
  <si>
    <t>Grimpadores</t>
  </si>
  <si>
    <t>Integració usaris Linux / Windows</t>
  </si>
  <si>
    <t>Connectors RJ45</t>
  </si>
  <si>
    <t>Teclat</t>
  </si>
  <si>
    <t>Ratoli</t>
  </si>
  <si>
    <t>ROGER</t>
  </si>
  <si>
    <t>Regleta</t>
  </si>
  <si>
    <t>USB
WIFI</t>
  </si>
  <si>
    <r>
      <rPr/>
      <t xml:space="preserve">
</t>
    </r>
    <r>
      <rPr>
        <b/>
      </rPr>
      <t xml:space="preserve">LMS
</t>
    </r>
    <r>
      <rPr/>
      <t>Web cursos corporatius.
Manual d'ús per part dels usuaris, manual d'instal·lació i de configuració</t>
    </r>
    <r>
      <rPr>
        <b/>
      </rPr>
      <t xml:space="preserve">
</t>
    </r>
    <r>
      <rPr/>
      <t xml:space="preserve">Documentació del perquè d'aquest LMS i comparativa amb altres existents, així com els problemes tècnics trobats. 
Pressupost el cost d'aquest software si en té, hores d'instal·lació, manteniment., etc. Relacionar-ho amb el hardware en termes de eficiència, adaptat al servei que ha de donar. 
Requeriments necessaris a nivell de maquinari i pre-requisits.
Integració dels diferents usuaris/perfils. Incorporació d'un usuari per cada membre del grup del tipus administrador i un per cada company de la classe del tipus noAdministrador. 
Realització de proves de funcionament i memòria de totes les proves realitzades. 
Creació dels dos cursos demanats i els rols necessaris per gestionar-los. Documenta i justifica els rols emprats.
Creació de contingut als cursos amb diferent tipus de recursos i activitats per al personal de l'empresa. Es valorarà tant per quantitat com per qualitat i estructura.
Importa i exporta continguts en diferents formats.      
Comprovació que els diferents usuaris poden accedir-hi i visualitzar els continguts correctament. Verificar què pot veure cada tipus d'usuari afegit.
Manipula i genera perfils personalitzats i diferenciats. 
Explicar i documentar les normes d'ús als usuaris, etc.
Documenta el procés de modificació.
Realitza informes d'accés i utilització del lloc.
Activa  i configura els mecanismes de seguretat proporcionats pel propi LMS i externs.
Aplicar el single sign on.
Realitza còpies de seguretat i restauracions. *
* Aquest apartat pot no realitzar-se si és redundant amb la part de seguretat i còpies de seguretat genèriques. És a dir, que es contempli en un altre apartat.
</t>
    </r>
  </si>
  <si>
    <t>Seguretat bàsica</t>
  </si>
  <si>
    <t>Política de backups, Backups(+ftp/scp/...), política i gestors de contrasenyes, antivirus local i server</t>
  </si>
  <si>
    <t>Es vol fer assegurar la navegació dels usuaris: 
- No volem que els usuaris de la xarxa puguin navegar a pornografia, violència i pàgines  malware, spyware, etc.
- No es pot navegar en hores en que l'empresa estigui tancada (L'horari és de 08 a 14:30) exceptuant el personal de manteniment TIC 24/7
- Pel personal de manteniment 24/7 es farà una doble comprovació IP/usuari. 
- Volem poder veure estadístiques d'ús per usuari.
- L'usuari/password, com a tot el projecte, serà amb single sign on.
- Considera una navegació diferent per als usuaris de la wifi mòbil, és a dir la idea es que només puguin navegar per internet. No han de poder accedir a cap recurs intern els usuaris de la wifi mòbil; els usuari de la wifi portàtil podran accedir als recursos igual que ho fan desde els pc fixes
- Personalitza els missatge d'error amb instruccions clares i amb l'estil i marca de l'empresa</t>
  </si>
  <si>
    <t>Manuals d'instal·lació, d'administració i d'ús.</t>
  </si>
  <si>
    <t xml:space="preserve">Volem assegurar les comunicacions dels servidors de l'empresa:
- Estableix els mecanismes de control i xifrat de totes les comunicacions.
- Considera establir doble mecanisme de control: IP, usuari/password
- Considera fer redundancia dels servidors o serveis
- Considera establir entorns chroot on puguis
</t>
  </si>
  <si>
    <t>CMS (web pública i botiga) + LMS + single sign on</t>
  </si>
  <si>
    <t xml:space="preserve">En tot moment hem de saber l'estat de tots els serveis de la xarxa i ens hem d'assabentar quan algun servei cau. Cal tenir en compte que poden caure els mateixos serveis o els dispositius de xarxa d'interconnexió i per tant caldria monitorització des de dintre i fora la xarxa local. També hem de pensar en la possibiltat que el monitor pugui caure. </t>
  </si>
  <si>
    <t>PROPOSTA2</t>
  </si>
  <si>
    <t>Manuals de configuració i monitoratge dels serveis</t>
  </si>
  <si>
    <t>Millores de la xarxa</t>
  </si>
  <si>
    <t>M6, M7</t>
  </si>
  <si>
    <t>Cal continuar millorant el pla de contingència per les noves característiques i serveis que es vagin afegint. No cal oblidar la documentació que es va desenvolupant durant el projecte.</t>
  </si>
  <si>
    <t>M4</t>
  </si>
  <si>
    <t>Afegir nous Backups + single sign on: afegir a les noves incorporacions</t>
  </si>
  <si>
    <t>Confgiuració del proxy</t>
  </si>
  <si>
    <t>La xarxa local ha d'estar separada de la xarxa dels serveis públics o accessibles des d'Internet. Això implicarà afegir més elements a la infrastructura de xarxa i reorganitzar alguns.</t>
  </si>
  <si>
    <t>Assegurar comunicacions dels servidors: Apache "avançat" (errors, headers, SSL, control d'entrada )+ FTP (per alimentar-lo), DNS secundari?</t>
  </si>
  <si>
    <t>Manual d'ús del proxy per part dels usuari, manual d'instal·lació i de configuració (com fer canvis al proxy)</t>
  </si>
  <si>
    <t>ROGER 23</t>
  </si>
  <si>
    <t>Alguns dels treballadors són itinerants. Han de poder accedir als recursos de l'empresa de forma segura desde casa seva.
Servidor gràfic d'administració remota des de casa, un en windows i un en linux.</t>
  </si>
  <si>
    <t>Manual d'ús per part dels usuaris, manual d'instal·lació i de configuració</t>
  </si>
  <si>
    <t>Heu de poder resoldre incidències dels portàtils dels treballadors itinerants sense que hagin de venir al despatx</t>
  </si>
  <si>
    <t>Roger 23</t>
  </si>
  <si>
    <t>Backups + single sign on: afegir a les noves incorporacions</t>
  </si>
  <si>
    <t>Assegurament de la xarxa</t>
  </si>
  <si>
    <t>Actualització del pla de contingència i backup</t>
  </si>
  <si>
    <t>M6
V. Martín
23</t>
  </si>
  <si>
    <t>M8
O. Aspas
023</t>
  </si>
  <si>
    <t>DMZ</t>
  </si>
  <si>
    <t>Es vol mantenir un inventari de tots els actius de la xarxa per poder gestionar correctament maquinari, programari i actualitzacions.</t>
  </si>
  <si>
    <t>ProjecteFOL
023</t>
  </si>
  <si>
    <t xml:space="preserve">Programari d'inventari d'equips, dispositius de xarxa i CPD </t>
  </si>
  <si>
    <t xml:space="preserve">VPN </t>
  </si>
  <si>
    <t xml:space="preserve">SMX2B
ProjecteFOL
026 </t>
  </si>
  <si>
    <t>Es vol estalviar ample de banda en les actualitzacions de programari, tant en equips Linux com Windows.</t>
  </si>
  <si>
    <t>V.martin 23</t>
  </si>
  <si>
    <t>Publicació de serveis NAT intern</t>
  </si>
  <si>
    <t>Servidors d'actualitzacions i repositoris ( APT Mirror)</t>
  </si>
  <si>
    <t>ProjecteFOL
 24</t>
  </si>
  <si>
    <t>Backups</t>
  </si>
  <si>
    <t>Horas</t>
  </si>
  <si>
    <t>Grups tutor</t>
  </si>
  <si>
    <t>A1</t>
  </si>
  <si>
    <t>A2</t>
  </si>
  <si>
    <t>B</t>
  </si>
  <si>
    <t>Monitoratge intern i extern ?? Config notificacions?</t>
  </si>
  <si>
    <t>JOAN</t>
  </si>
  <si>
    <t>Ampliacions</t>
  </si>
  <si>
    <t>Darrera verificació del projecte</t>
  </si>
  <si>
    <t>Lliurament documentació</t>
  </si>
  <si>
    <t>Port Aventura</t>
  </si>
  <si>
    <t>OSCAR</t>
  </si>
  <si>
    <t>23 a 27/05</t>
  </si>
  <si>
    <t>Presentacions</t>
  </si>
  <si>
    <t>assignados</t>
  </si>
  <si>
    <t>PAU</t>
  </si>
  <si>
    <t>ASPAS</t>
  </si>
  <si>
    <t>x</t>
  </si>
  <si>
    <t>JORDI</t>
  </si>
  <si>
    <t>VANESA</t>
  </si>
  <si>
    <t>EVA</t>
  </si>
  <si>
    <t>Grups
Notificats</t>
  </si>
  <si>
    <t>Total horas</t>
  </si>
  <si>
    <t>TUT</t>
  </si>
  <si>
    <t>GUARDIA</t>
  </si>
  <si>
    <t>CAPS</t>
  </si>
  <si>
    <t>Pau</t>
  </si>
  <si>
    <t>Van</t>
  </si>
  <si>
    <t>David</t>
  </si>
  <si>
    <t>VAN</t>
  </si>
  <si>
    <t>ROMÀ</t>
  </si>
  <si>
    <t>INGRID</t>
  </si>
  <si>
    <t>oscar</t>
  </si>
  <si>
    <t>Romà</t>
  </si>
  <si>
    <t>Oscar</t>
  </si>
  <si>
    <t>DAVID</t>
  </si>
  <si>
    <t>COINCIDINT</t>
  </si>
  <si>
    <t>PUNTS</t>
  </si>
  <si>
    <t>+1 tutoria</t>
  </si>
  <si>
    <t>objectiu 24</t>
  </si>
  <si>
    <t>ingrid</t>
  </si>
  <si>
    <t>joan</t>
  </si>
  <si>
    <t>HORARIS SÍNTESI - DEL 6 DE MARÇ AL 18 DE MAIG DE 2023</t>
  </si>
  <si>
    <t>Aula 25</t>
  </si>
  <si>
    <t>08:00 - 9:00</t>
  </si>
  <si>
    <t>J. Ferrés</t>
  </si>
  <si>
    <t>V. Martin</t>
  </si>
  <si>
    <t>09:00 - 10:00</t>
  </si>
  <si>
    <t>J. Costa</t>
  </si>
  <si>
    <t>P. Tomé, 
J. Ferrés</t>
  </si>
  <si>
    <t>10:00 - 11:00</t>
  </si>
  <si>
    <t>P. Tomé</t>
  </si>
  <si>
    <t>Pati</t>
  </si>
  <si>
    <t>11:30 - 12:30</t>
  </si>
  <si>
    <t>12:30 - 13:30</t>
  </si>
  <si>
    <t>Reunió professorat</t>
  </si>
  <si>
    <t>Ingrid San Millán</t>
  </si>
  <si>
    <t>13:30 - 14:30</t>
  </si>
  <si>
    <t>Aula 23</t>
  </si>
  <si>
    <t>O. López</t>
  </si>
  <si>
    <t>R. Bèjar</t>
  </si>
  <si>
    <t>R. Bèjar, 
A. Segura</t>
  </si>
  <si>
    <t>O. López, 
R. Bèjar</t>
  </si>
  <si>
    <t>A. Segura</t>
  </si>
  <si>
    <t>O. López, 
V. Martin</t>
  </si>
  <si>
    <t>V. Martin, 
R. Bèjar</t>
  </si>
  <si>
    <t>V. Martin, 
A. Segura</t>
  </si>
  <si>
    <t>Aula 26</t>
  </si>
  <si>
    <t>R. Sánchez, J. Costa</t>
  </si>
  <si>
    <t>D. Lizana</t>
  </si>
  <si>
    <t>R. Sánchez</t>
  </si>
  <si>
    <t>D. Lizana, J. Costa</t>
  </si>
  <si>
    <t>Caruso Nieto</t>
  </si>
  <si>
    <t>RAFA</t>
  </si>
  <si>
    <t>Perera Buján</t>
  </si>
  <si>
    <t>Godoy Ferrer</t>
  </si>
  <si>
    <t>Rejas López</t>
  </si>
  <si>
    <t>ALAN</t>
  </si>
  <si>
    <t>Tomàs Molina</t>
  </si>
  <si>
    <t>Lasri l'Harrak</t>
  </si>
  <si>
    <t>González Baluja</t>
  </si>
  <si>
    <t>JOSE</t>
  </si>
  <si>
    <t>Costa Godó</t>
  </si>
  <si>
    <t>Zafra Santander</t>
  </si>
  <si>
    <t>Habacz Golinsk</t>
  </si>
  <si>
    <t>XAVI</t>
  </si>
  <si>
    <t>Navarro Ramos</t>
  </si>
  <si>
    <t>Navarro Tosso</t>
  </si>
  <si>
    <t>Marrero Arcos</t>
  </si>
  <si>
    <t>HECTOR</t>
  </si>
  <si>
    <t>Delgado Velásquez</t>
  </si>
  <si>
    <t>Palma Caigua</t>
  </si>
  <si>
    <t>Castillo Edo</t>
  </si>
  <si>
    <t>GRUP</t>
  </si>
  <si>
    <t>Alumnes</t>
  </si>
  <si>
    <t>TUTOR</t>
  </si>
  <si>
    <t>AULA</t>
  </si>
  <si>
    <t>DAVID i VANESA</t>
  </si>
  <si>
    <t>Alex</t>
  </si>
  <si>
    <t>Esmeralda</t>
  </si>
  <si>
    <t>OSCAR I ROMÀ</t>
  </si>
  <si>
    <t>Victor</t>
  </si>
  <si>
    <t>Fernandez</t>
  </si>
  <si>
    <t>JAVIER I ROGER</t>
  </si>
  <si>
    <t>3*</t>
  </si>
  <si>
    <t>Héctor</t>
  </si>
  <si>
    <t>Jurado Castillo</t>
  </si>
  <si>
    <t>B1</t>
  </si>
  <si>
    <t>Víctor</t>
  </si>
  <si>
    <t>Álvarez Calvo</t>
  </si>
  <si>
    <t>Jan</t>
  </si>
  <si>
    <t>Borràs Martínez</t>
  </si>
  <si>
    <t xml:space="preserve">Roc </t>
  </si>
  <si>
    <t>Igual Lopez</t>
  </si>
  <si>
    <t>Bernat</t>
  </si>
  <si>
    <t>Balada Segura</t>
  </si>
  <si>
    <t>Gisbert García</t>
  </si>
  <si>
    <t>GRUPS</t>
  </si>
  <si>
    <t>Pol</t>
  </si>
  <si>
    <t>Navarro</t>
  </si>
  <si>
    <t>Adrian</t>
  </si>
  <si>
    <t>Barriere Rodríguez</t>
  </si>
  <si>
    <t>HORES CLASSE</t>
  </si>
  <si>
    <t>MITJA</t>
  </si>
  <si>
    <t>ROUND</t>
  </si>
  <si>
    <t>MANUAL</t>
  </si>
  <si>
    <t>AGAFATS</t>
  </si>
  <si>
    <t>Moré Puig</t>
  </si>
  <si>
    <t>Risco Ruiz</t>
  </si>
  <si>
    <t>Miguel</t>
  </si>
  <si>
    <t>Capitán Barallobre</t>
  </si>
  <si>
    <t>Arnau</t>
  </si>
  <si>
    <t>López Calzada</t>
  </si>
  <si>
    <t>Daniel</t>
  </si>
  <si>
    <t>Barreto Madrid</t>
  </si>
  <si>
    <t>XAVIER</t>
  </si>
  <si>
    <t>CONTRERAS GARRIDO</t>
  </si>
  <si>
    <t>Iker</t>
  </si>
  <si>
    <t>Cruces Alejo</t>
  </si>
  <si>
    <t>JAVIER</t>
  </si>
  <si>
    <t>Hector</t>
  </si>
  <si>
    <t>Galindo Matías</t>
  </si>
  <si>
    <t>Lluís</t>
  </si>
  <si>
    <t>del Moral Prados</t>
  </si>
  <si>
    <t>Total hores</t>
  </si>
  <si>
    <t>Ivo</t>
  </si>
  <si>
    <t>Ivaylov Georgiev</t>
  </si>
  <si>
    <t>Aaron</t>
  </si>
  <si>
    <t>López Mañé</t>
  </si>
  <si>
    <t>Izan</t>
  </si>
  <si>
    <t>García Sabola</t>
  </si>
  <si>
    <t>Aya</t>
  </si>
  <si>
    <t>Ouniss El Aalali</t>
  </si>
  <si>
    <t>Marina</t>
  </si>
  <si>
    <t>Montero Retamosa</t>
  </si>
  <si>
    <t>MATÏ</t>
  </si>
  <si>
    <t>TARDA</t>
  </si>
  <si>
    <t>Adaptadores rj45-usb</t>
  </si>
  <si>
    <t>comprar</t>
  </si>
  <si>
    <t>Eloy</t>
  </si>
  <si>
    <t>impresora</t>
  </si>
  <si>
    <t>Jurado Rodriguez</t>
  </si>
  <si>
    <t>Mikrotik AP</t>
  </si>
  <si>
    <t>post-it</t>
  </si>
  <si>
    <t>Mikortik</t>
  </si>
  <si>
    <t>reducir enunciados</t>
  </si>
  <si>
    <t>rpi</t>
  </si>
  <si>
    <t>Marc</t>
  </si>
  <si>
    <t>Ocultar rúbricas</t>
  </si>
  <si>
    <t>Sanchez Tena</t>
  </si>
  <si>
    <t>cables USB</t>
  </si>
  <si>
    <t>cable HDMI</t>
  </si>
  <si>
    <t>Font</t>
  </si>
  <si>
    <t>Eric</t>
  </si>
  <si>
    <t>Muñoz Peris</t>
  </si>
  <si>
    <t>Hub USB</t>
  </si>
  <si>
    <t>SD</t>
  </si>
  <si>
    <t xml:space="preserve">Lector </t>
  </si>
  <si>
    <t>Tiscar Guisado</t>
  </si>
  <si>
    <t>rj45</t>
  </si>
  <si>
    <t>ladrón</t>
  </si>
  <si>
    <t>adaptadors USB-C RJ45</t>
  </si>
  <si>
    <t>Jordi proveeix</t>
  </si>
  <si>
    <t>Erik</t>
  </si>
  <si>
    <t>Lara Vera</t>
  </si>
  <si>
    <t>Joel</t>
  </si>
  <si>
    <t>Prados</t>
  </si>
  <si>
    <t>Abel</t>
  </si>
  <si>
    <t>Garcia Tomás</t>
  </si>
  <si>
    <t>Gerard</t>
  </si>
  <si>
    <t>Mandret Ramos</t>
  </si>
  <si>
    <t>Mohamed</t>
  </si>
  <si>
    <t>Souane Koma</t>
  </si>
  <si>
    <t>Díaz Villarroel</t>
  </si>
  <si>
    <t>Sáez Solà</t>
  </si>
  <si>
    <t>Trullas Aranda</t>
  </si>
  <si>
    <t xml:space="preserve">Amanda </t>
  </si>
  <si>
    <t>Ortiz</t>
  </si>
  <si>
    <t>Borruel</t>
  </si>
  <si>
    <t>Miquel</t>
  </si>
  <si>
    <t>Turegano</t>
  </si>
  <si>
    <t>Martinez</t>
  </si>
  <si>
    <t>Max</t>
  </si>
  <si>
    <t>Guillem</t>
  </si>
  <si>
    <t>Garcia</t>
  </si>
  <si>
    <t>Torres</t>
  </si>
  <si>
    <t>Aniol</t>
  </si>
  <si>
    <t>Salgado</t>
  </si>
  <si>
    <t>Unai</t>
  </si>
  <si>
    <t>Estrada</t>
  </si>
  <si>
    <t>Ezquerra</t>
  </si>
  <si>
    <t>Marcel</t>
  </si>
  <si>
    <t>Barceló Martín</t>
  </si>
  <si>
    <t>Arance Merlos</t>
  </si>
  <si>
    <t>C</t>
  </si>
  <si>
    <t>Ian</t>
  </si>
  <si>
    <t>Juan David</t>
  </si>
  <si>
    <t>Julen</t>
  </si>
  <si>
    <t>Nil</t>
  </si>
  <si>
    <t>Zouhair</t>
  </si>
  <si>
    <t>Carlos A.</t>
  </si>
  <si>
    <t>Xavier</t>
  </si>
  <si>
    <t>Carlos</t>
  </si>
  <si>
    <t>Enunciat</t>
  </si>
  <si>
    <t>Zeus</t>
  </si>
  <si>
    <t>Descripció</t>
  </si>
  <si>
    <t>Rubén</t>
  </si>
  <si>
    <t>Enllaç</t>
  </si>
  <si>
    <t>Pablo</t>
  </si>
  <si>
    <t>https://docs.google.com/document/d/1xAeB1yeXMUAWvmYFU2Mi_8Du_9ju_sLUHI085oX0rkI/edit</t>
  </si>
  <si>
    <t>Joan</t>
  </si>
  <si>
    <t>Aquiles A.</t>
  </si>
  <si>
    <t>Alfonso</t>
  </si>
  <si>
    <t>Banqueta</t>
  </si>
  <si>
    <t>A</t>
  </si>
  <si>
    <t>Scrum</t>
  </si>
  <si>
    <t>Cava Alejandro</t>
  </si>
  <si>
    <t>Diapos (en 5 minuts)</t>
  </si>
  <si>
    <t>https://prezi.com/yb2uleyhubl7/scrum-en-5-minutos/</t>
  </si>
  <si>
    <t>Romero Balletbó</t>
  </si>
  <si>
    <t>Alejandro</t>
  </si>
  <si>
    <t>Algar Peláez</t>
  </si>
  <si>
    <t>Sergio</t>
  </si>
  <si>
    <t>Sánchez Giménez</t>
  </si>
  <si>
    <t>Hamza</t>
  </si>
  <si>
    <t>Mario</t>
  </si>
  <si>
    <t>Rodriguez Álvarez</t>
  </si>
  <si>
    <t>Aleix</t>
  </si>
  <si>
    <t>Ribell</t>
  </si>
  <si>
    <t>Biel</t>
  </si>
  <si>
    <t>Miralles</t>
  </si>
  <si>
    <t>Vídeo (en 10 minuts)</t>
  </si>
  <si>
    <t>https://www.youtube.com/watch?v=PlLHc60egiQ</t>
  </si>
  <si>
    <t>Curs online</t>
  </si>
  <si>
    <t>https://www.youtube.com/watch?v=qRx8BkjY8lY&amp;list=PLCdd5nLIOVnZKY4afaLSXwmTOBkdwOGzo</t>
  </si>
  <si>
    <t>Vanesa</t>
  </si>
  <si>
    <t>Eva</t>
  </si>
  <si>
    <t>Aspas</t>
  </si>
  <si>
    <t>Jordi</t>
  </si>
  <si>
    <t>Silicon Valley</t>
  </si>
  <si>
    <t>https://www.youtube.com/watch?v=oyVksFviJVE</t>
  </si>
  <si>
    <t>-</t>
  </si>
  <si>
    <t>https://www.youtube.com/watch?v=o0Xo-BbgIL8</t>
  </si>
  <si>
    <t>Planning Poker</t>
  </si>
  <si>
    <t>https://planningpokeronline.com/</t>
  </si>
  <si>
    <t>Elevator Pitch</t>
  </si>
  <si>
    <t>- Vídeo: Què és elevator pitch (Fundació la caixa):</t>
  </si>
  <si>
    <t>https://www.youtube.com/watch?v=2b3xG_YjgvI</t>
  </si>
  <si>
    <t xml:space="preserve">- Com fer un pitch: </t>
  </si>
  <si>
    <t>https://www.youtube.com/watch?v=554Fwv7jQMI</t>
  </si>
  <si>
    <t xml:space="preserve">- Diapositives sobre elevator pitch (mtodologia): </t>
  </si>
  <si>
    <t>https://www.slideshare.net/jordipuigdellivol/elevator-pitch-8033336</t>
  </si>
  <si>
    <t xml:space="preserve">- Curs complet sobre elevator pitch: </t>
  </si>
  <si>
    <t>http://www.myelevatorpitch.es/videos-del-curso/video-1.html</t>
  </si>
  <si>
    <t xml:space="preserve">- Prezi, com presentar un elevator pitch: </t>
  </si>
  <si>
    <t>https://prezi.com/cchk1p7xhs_2/como-presentar-un-elevator-pitch/</t>
  </si>
  <si>
    <t>Petxa Kutxa</t>
  </si>
  <si>
    <t>Què és?</t>
  </si>
  <si>
    <t>https://www.socialmediaycontenidos.com/que-es-pecha-kucha-el-metodo-infalible-para-presentaciones-eficaces/</t>
  </si>
  <si>
    <t>Ortega Carmona</t>
  </si>
  <si>
    <t>4?</t>
  </si>
  <si>
    <t>Diagrames i mapa lògic</t>
  </si>
  <si>
    <t>Diagrames integrat amb Drive</t>
  </si>
  <si>
    <r>
      <rPr>
        <color rgb="FF000000"/>
      </rPr>
      <t>https://</t>
    </r>
    <r>
      <rPr>
        <color rgb="FF1155CC"/>
        <u/>
      </rPr>
      <t>draw.io</t>
    </r>
  </si>
  <si>
    <t xml:space="preserve">Diagrames </t>
  </si>
  <si>
    <t>https://apps.nulab.com/signin</t>
  </si>
  <si>
    <t>Divendres 23</t>
  </si>
  <si>
    <t>Dilluns 26</t>
  </si>
  <si>
    <t>Dimarts 27</t>
  </si>
  <si>
    <t>Backlog</t>
  </si>
  <si>
    <t>Horaris</t>
  </si>
  <si>
    <t>Product backlog</t>
  </si>
  <si>
    <t>Sprint Backlog</t>
  </si>
  <si>
    <t>Definir històries</t>
  </si>
  <si>
    <t>Dividir històries en tasques</t>
  </si>
  <si>
    <t>ordenar les tasques per prioritat</t>
  </si>
  <si>
    <t>Estimar temps per cada tasca</t>
  </si>
  <si>
    <t>temporitzar les tasques:</t>
  </si>
  <si>
    <t>Afegir al kanban a "TO-DO"</t>
  </si>
  <si>
    <t>Tasques</t>
  </si>
  <si>
    <t>Tasques: que apuntar al post-it</t>
  </si>
  <si>
    <t>Necessari per tancar una tasca</t>
  </si>
  <si>
    <t>Nom de la tasca</t>
  </si>
  <si>
    <t>Haver testejat la tasca</t>
  </si>
  <si>
    <t>Temps estimat</t>
  </si>
  <si>
    <t>Documentació generada</t>
  </si>
  <si>
    <t>Persona responsable</t>
  </si>
  <si>
    <t>per cada tasca</t>
  </si>
  <si>
    <t>Penses el valor estimat en hores de la tasca</t>
  </si>
  <si>
    <t>A cegues: tothom mostra la carta amb l'estimació</t>
  </si>
  <si>
    <t>El més prudent explica les seves raons</t>
  </si>
  <si>
    <t>El més optimista explica les seves raons</t>
  </si>
  <si>
    <t>S'arriba a consens o es torna al pas 1</t>
  </si>
  <si>
    <t>Tasca</t>
  </si>
  <si>
    <t>Scrum diari</t>
  </si>
  <si>
    <t>Contingut</t>
  </si>
  <si>
    <t>Criteris d‘avaluació</t>
  </si>
  <si>
    <t>Que has fet? Quina tasca?</t>
  </si>
  <si>
    <t>Documentació i recerca d’informació</t>
  </si>
  <si>
    <t>Problemes: demanar ajuda. Aportar solucions</t>
  </si>
  <si>
    <t>L’objectiu de la documentació és tenir referència de com instal·lar, configurar, administrar i utilitzar els sistema informàtic i les seves aplicacions. S'ha de documentar tot allò necessari per assolir aquest objectiu. 
Han de constar les fonts d’informació utilitzades. (bibliografia i webgrafia)</t>
  </si>
  <si>
    <t>Comprovar que es compleixin tots els punts esmentats en la Descripció i estiguin inclosos en la documentació final.
La documentació ha de complir uns mínims per ser APTE:  
Tenir una estructura coherent.
Contenir índexs per ubicar ràpidament les seves parts.
Que en el contingut apareguin tots els apartats esmentats en la documentació final.
No contenir faltes ortogràfiques.</t>
  </si>
  <si>
    <t>Revisió sprint</t>
  </si>
  <si>
    <t>Disseny de la xarxa</t>
  </si>
  <si>
    <t>Plànol lògic
Taula o document explicatiu sobre l’adreçament de la LAN (assignació IP’s, màscara i gateway) per a tots els dispositius de xarxa que ho necessitin. Tant mitjançant una taula o al mateix plànol lògic.
Justificació del disseny 
Connexió a Internet</t>
  </si>
  <si>
    <t>Passos</t>
  </si>
  <si>
    <t>Resultat sprint</t>
  </si>
  <si>
    <t>Disseny de la xarxa: Mínims per a ser apte
Adreçament: Ip’s vàlides en entorn local, màscares i gateways adequats.
Concordancia amb els fitxers de configuració dels serveis instal·lats
dns, noms de hosts</t>
  </si>
  <si>
    <t>W</t>
  </si>
  <si>
    <t>Serveis de 
xarxa o internet</t>
  </si>
  <si>
    <t>Revisió tècnica</t>
  </si>
  <si>
    <t>--&gt; Mitjançant Rúbrica</t>
  </si>
  <si>
    <t>Revisió de Material</t>
  </si>
  <si>
    <t>Documentació</t>
  </si>
  <si>
    <t>Caldrà implementar els elements següents: DHCP, DNS, FTP, servidor web, Proxy, sistema d'administració remot. Tots els serveis han de ser segurs i els usuaris integrats al servei de directori.
Servei Web. Aquest servidor web estarà  configurat per donar serveis als següents llocs virtuals associats a la mateixa adreça IP però amb un nom de host diferent per a cada lloc web:
www.gleannmaith.local
formacio.gleannmaith.local
Servei DNS LOCAL que gestionarà el domini DNS “gleannmaith.local” a nivell intern (adreces locals), amb noms de host pels diferents serveis (ftp.gleannmaith.local, formacio.gleannmaith.local, etc.). A més, servirà de memòria cau (“catxé”) de peticions DNS. Només crearem hosts per equips sense adreça dinàmica.
Servei de control remot per consola i en mode gràfic (només per a ordinadors clients) per poder administrar remotament el servidor. L'únic usuari de consola que s'hi podrà connectar serà l'usuari “remot” que ha de poder, en cas necessari, convertir-se en “root” o executar comandes de “root”.
Servei DHCP, ja que les adreces dels equips dels espais de l’empresa seran dinàmiques i repartides entre els espais de treball de la manera que es cregui adient i fent servir la classe de xarxa que es necessiti.
Servidor FTP públic per a administrar el servei web. No s’ha de poder escalar directoris, no s’ha de permetre iniciar sessió a l’administrador i s’ha de limitar l’accés al servidor per evitar abús dels usuaris o sobrecàrrega del servidor (limitar ample de banda, limitar nombre de connexions simultànies des de la mateixa ip, limitar el nombre de connexions totals des de qualsevol ip, etc.). 
Servidor proxy, per donar accés controlat a Internet als usuaris de la xarxa i alhora augmentar el rendiment. Els requeriments del servidor proxy són: 
Les restriccions s'aplicaran atenent als usuaris i grups (fent servir usuaris integrats en el servei de directori). 
Cal definir i aplicar una política d’ús d’Internet (restriccions per usuaris, grups, categories, horaris, etc.)
Cal tenir un sistema d’estadístiques del servidor proxy. Cal que es generin automàticament les estadístiques cada nit. Cal vigilar amb la rotació dels fitxers de log (servei logrotate) del proxy, que fa desaparèixer els fitxers de log en 2 dies.
Cal pensar en els backups de configuracions i fitxers de dades dels diferents serveis, de manera que es pugui traslladar fàcilment un servei d’un equip a un altre.</t>
  </si>
  <si>
    <t>FAQ</t>
  </si>
  <si>
    <t>Tema</t>
  </si>
  <si>
    <t>Revisió de les aportacions dels membres + canvi de rols</t>
  </si>
  <si>
    <t>problema</t>
  </si>
  <si>
    <t>Resposta</t>
  </si>
  <si>
    <t>adm remota</t>
  </si>
  <si>
    <t>Hi ha alternatives open source per admin remota?</t>
  </si>
  <si>
    <t>- Els servidors han d’estar disponibles. Han de respondre a ping, dig, nslookup, telnet, etc. segons el servei a testejar.
- S’ha de poder carregar pàgines web mitjançant el nom de domini.
- Comprovar l’accés a webs prohibides des de diferents ip origen, en diferents horaris.
- Comprovar resolució DNS amb Nslookup. 
- Accedir amb consola remota amb un usuari autoritzat i un que no. Des d’un equip autoritzat i no autoritzat.
- Comprovar concessions DHCP.
- Pujar i baixar fitxers al servidor FTP. Comprovar restriccions de comptes, tràfic, etc.
- Comprovar hosts de domini a Internet. 
Totes les proves es trobaran detallades al joc de proves que s’adjuntarà.</t>
  </si>
  <si>
    <t>Definició dels objectius del següent sprint</t>
  </si>
  <si>
    <r>
      <rPr>
        <rFont val="arial,sans,sans-serif"/>
      </rPr>
      <t xml:space="preserve">Reviseu: </t>
    </r>
    <r>
      <rPr>
        <rFont val="arial,sans,sans-serif"/>
        <color rgb="FF1155CC"/>
        <u/>
      </rPr>
      <t>https://alternativeto.net/category/networking-and-admin/remote-desktop-access/?license=opensource</t>
    </r>
  </si>
  <si>
    <t>Gestor de continguts.</t>
  </si>
  <si>
    <t>Instal·la un gestor de continguts web per a la implementació de la web de l’empresa client. Ha de ser accessible el servei des de Internet i la intranet. Aconsellem Wordpress.
Servei de bases de dades relacionals per gestionar les dades de les aplicacions web i gestors de continguts (opció Apache+PHP+MySQL+PHPMyAdmin).
Característiques i personalització del CMS amb plantilla “responsive design” o adaptativa.
Habilita enquestes i un fòrum dins del gestor.
Inclou un mòdul que tradueixi el contingut a l'anglès i s'ha de poder accedir a aquesta en anglès i que funcioni.
Modifica/configura la plantilla triada, que està desenvolupada amb CSS, per ajustar-la a la imatge corporativa de l’empresa.
Documenta les incidències aparegudes i les solucions aportades a aquestes en tot el procés.
Realitza tasques d'actualització del gestor de continguts.*</t>
  </si>
  <si>
    <r>
      <rPr>
        <rFont val="Arial"/>
        <color rgb="FF000000"/>
      </rPr>
      <t xml:space="preserve">Explicació de les característiques d'aquest CMS.
Desenvolupa (usant el CMS instal·lat) una web amb un mínim de 5 “pàgines” amb contingut (les enquestes, traduccions a l’anglès, etc. es compten a part). Pista: una possible referència la podeu trobar a webs com:
</t>
    </r>
    <r>
      <rPr>
        <rFont val="Arial"/>
        <color rgb="FF000000"/>
      </rPr>
      <t>https://www.migestoriaonline.e</t>
    </r>
    <r>
      <rPr>
        <rFont val="Arial"/>
        <color rgb="FF000000"/>
      </rPr>
      <t xml:space="preserve">s
</t>
    </r>
    <r>
      <rPr>
        <rFont val="Arial"/>
        <color rgb="FF000000"/>
      </rPr>
      <t>https://www.rollingstones.com</t>
    </r>
    <r>
      <rPr>
        <rFont val="Arial"/>
        <color rgb="FF000000"/>
      </rPr>
      <t xml:space="preserve">
</t>
    </r>
    <r>
      <rPr>
        <rFont val="Arial"/>
        <color rgb="FF000000"/>
      </rPr>
      <t>http://www.layoutdisseny.com</t>
    </r>
    <r>
      <rPr>
        <rFont val="Arial"/>
        <color rgb="FF000000"/>
      </rPr>
      <t xml:space="preserve">
</t>
    </r>
    <r>
      <rPr>
        <rFont val="Arial"/>
        <color rgb="FF000000"/>
      </rPr>
      <t>http://www.sanfeliu-santildefons.org</t>
    </r>
    <r>
      <rPr>
        <rFont val="Arial"/>
        <color rgb="FF000000"/>
      </rPr>
      <t xml:space="preserve">
Documenta el procés d'instal·lació mínimament en termes de resultat i problemes tècnics del CMS.
Documenta el procés de configuració implicit en les tasques demanades.                          
Servei de bases de dades relacionals per gestionar les dades de l’aplicació web i gestor de continguts (opció Apache+PHP+MySQL+PHPMyAdmin).
Característiques i personalització del CMS.
Habilitar enquestes i un fòrum dins del gestor. 
Ha de tenir un mòdul que tradueixi el contingut a l'anglès i s'ha de poder accedir a aquesta en anglès i que funcioni.
Incorpora la imatge de l’empresa client a la web desenvolupada amb el gestor de continguts.
Documenta les incidències aparegudes i les solucions aportades a aquestes en tot el procés.
Realitza tasques d'actualització i de còpies de seguretat del gestor de continguts.*
* Aquest apartat pot no realitzar-se si és redundant amb la part de seguretat i còpies de seguretat genèriques.</t>
    </r>
  </si>
  <si>
    <t>certificats</t>
  </si>
  <si>
    <t>Instal·lar i configurar una CA autònoma en Windows Server</t>
  </si>
  <si>
    <r>
      <rPr>
        <rFont val="arial,sans,sans-serif"/>
      </rPr>
      <t xml:space="preserve">Reviseu </t>
    </r>
    <r>
      <rPr>
        <rFont val="arial,sans,sans-serif"/>
        <color rgb="FF1155CC"/>
        <u/>
      </rPr>
      <t>https://rdr-it.com/es/autoridad-de-certificacion-autonoma-de-windows-server-instalacion-y-configuracion/</t>
    </r>
  </si>
  <si>
    <t>mikrotik</t>
  </si>
  <si>
    <t>Eines de configuració per Mikrotik</t>
  </si>
  <si>
    <r>
      <rPr>
        <rFont val="arial,sans,sans-serif"/>
        <color rgb="FF000000"/>
      </rPr>
      <t xml:space="preserve">easy config with generator tools.
made for MikroTik RouterOS </t>
    </r>
    <r>
      <rPr>
        <rFont val="arial,sans,sans-serif"/>
        <color rgb="FF1155CC"/>
        <u/>
      </rPr>
      <t>https://buananetpbun.github.io/</t>
    </r>
  </si>
  <si>
    <t>Configuració d’un LMS.</t>
  </si>
  <si>
    <t>Instal·la un LMS per a l’empresa client que serveixi d’espai per a fer consultes als seus treballadors i formació a aquests. Caldrà crear i administrar dos cursos: un de “funcionament de l’empresa” (amb documents sobre normes generals, consultes/forums com el calendari laboral de l’any següent o aportació d’idees de nous productes/negocis, etc.) i un altre curs de temàtica lliure (relacionada amb l’empresa) i complexitat similar a la de la web corporativa. Com a sistema LMS s’aconsella Moodle.
Servei de bases de dades relacionals per gestionar les dades de les aplicacions web i gestors de continguts (opció Apache+PHP+MySQL+PHPMyAdmin).*
Característiques i personalització del LMS.
Activació i ús de funcionalitats. Fòrums. Consultes.
Fes la versió en català i carrega un mòdul per traduir-la a l’anglès.
Escull i/o modifica les plantilles o CSS per tenir una imatge corporativa igual a la web del gestor de continguts.
Seguiment d'ús del LMS.
Documenta les incidències aparegudes i les solucions aportades a aquestes en tot el procés.
Realitza una còpia de seguretat i actualització del curs.*</t>
  </si>
  <si>
    <t xml:space="preserve">No puc resetejar el mikrotik. </t>
  </si>
  <si>
    <r>
      <rPr>
        <rFont val="arial,sans,sans-serif"/>
      </rPr>
      <t xml:space="preserve">Reviseu: </t>
    </r>
    <r>
      <rPr>
        <rFont val="arial,sans,sans-serif"/>
        <color rgb="FF1155CC"/>
        <u/>
      </rPr>
      <t xml:space="preserve">https://help.mikrotik.com/docs/display/ROS/Reset+Button
https://www.youtube.com/@mikrotik
</t>
    </r>
    <r>
      <rPr>
        <rFont val="arial,sans,sans-serif"/>
      </rPr>
      <t>Feu: System-&gt;Reset config</t>
    </r>
  </si>
  <si>
    <t>Documentar el perquè d'aquest LMS i comparativa amb altres existents.
Documenta el procés d'instal·lació mínimament en termes de resultat i problemes tècnics del CMS.
Documenta el procés de configuració.
Explicació de les característiques d'aquest LMS.
Incloure en el pressupost el cost d'aquest software si en té, hores d'instal·lació, manteniment., etc. Relacionar-ho amb el hardware en termes de eficiència, adaptat al servei que ha de donar. 
Funcionalitat i aportacions específiques dins del projecte. 
Identifica els requeriments necessaris.
Realitza proves de funcionament.
Tria d'un tema (o “plantilla”) adient per la imatge del projecte. 
Crea els dos cursos demanats i els rols necessaris per gestionar-los. Documenta i justifica els rols emprats.
Crea contingut als cursos amb diferent tipus de recursos i activitats per al personal de la empresa. Es valorarà tant per quantitat com per qualitat.
Importa i exporta continguts en diferents formats.      
Comprova que els usuaris poden accedir-hi i visualitzar els continguts correctament. 
Manipula i genera perfils personalitzats. 
Inclou en la memòria totes les proves realitzades. 
Es valorarà qualsevol extra ideat i dut a terme. 
Comprova la funcionalitat de les comunicacions mitjançant fòrums, consultes, entre d'altres. 
Fes una introducció als diferents mòduls i blocs i explica el perquè has triat aquest mòduls i no altres.  
Explicar les normes d'ús dels usuaris, etc.
Realitzar les proves de funcionament: per exemple, que els alumnes del curs de “bricolatge” enviïn una foto de la seva construcció en una activitat del tipus “penjar un fitxer” o que els empleats votin quin dels calendaris laborals proposats per a l’any vinent prefereixen.
Cerca i interpreta documentació tècnica en les llengües oficials i en les de més ús al sector.
Documenta el procés de modificació.
Realitza informes d'accés i utilització del lloc.
Es valorarà la descripció i la capacitat de resoldre problemes.
Activa  i configura els mecanismes de seguretat proporcionats pel propi LMS.
Realitza còpies de seguretat i restauracions. *
* Aquest apartat pot no realitzar-se si és redundant amb la part de seguretat i còpies de seguretat genèriques. És a dir, que es contempli en un altre apartat.</t>
  </si>
  <si>
    <t>Còpia de seguretat</t>
  </si>
  <si>
    <t>Dissenyar i implementar un sistema de còpies de seguretat per recuperar amb seguretat i eficiència les dades i el sistema (HDD, disc USB, NAS, servidor extern, etc.). Cal tenir en compte:
Quins tipus de dades es guardaran, la freqüència d’actualització i la freqüència de la còpia (pla de còpies).
On es guardaran (còpies locals i remotes, suports físics).
Com es farà la restauració o instal·lació de zero d’equips clients (que passa si un usuari encén un pc i no arrenca).
Com es farà la restauració de servidors (que passa si el disc dur es crema, per exemple). 
Com i quan es guarda la configuració de servidors (algun servei ha perdut els fitxers de configuració)
Com es guarden els fitxers dels llocs web (planes web, plantilles, fitxers pujats) i les BD d'aquests (BD de Joomla, Moodle…) Pensar què passaria si s’esborren els fitxers de la BD.
Com i quan es guardaran les dades dels usuaris (fitxers ofimàtics guardats a carpetes personals, que són remotes).
Com es guardaran les configuracions de routers i/o switch si existeixen.
etc.</t>
  </si>
  <si>
    <t xml:space="preserve">Flash de la memòria </t>
  </si>
  <si>
    <t>https://forum.mikrotik.com/viewtopic.php?t=196477</t>
  </si>
  <si>
    <t>-Comprovació del pla de backup per a cada tipus de dispositiu i tipus de dades dintre els servidors.
- Execució d’un backup qualsevol, escollit aleatòriament, després d’haver destruït les dades.</t>
  </si>
  <si>
    <t>Servei de directori i compartir recursos en xarxa</t>
  </si>
  <si>
    <t>Els treballadors només han de tenir un únic nom d'usuari i contrasenya per accedir als equips i al Moodle. 
A més quan accedeixin a l'ordinador se'ls munta automàticament la seva carpeta personal, si és possible.</t>
  </si>
  <si>
    <t>Bridging and Switching</t>
  </si>
  <si>
    <r>
      <rPr>
        <rFont val="arial,sans,sans-serif"/>
      </rPr>
      <t xml:space="preserve">Reviseu: </t>
    </r>
    <r>
      <rPr>
        <rFont val="arial,sans,sans-serif"/>
        <color rgb="FF1155CC"/>
        <u/>
      </rPr>
      <t>https://help.mikrotik.com/docs/display/ROS/Bridging+and+Switching</t>
    </r>
    <r>
      <rPr>
        <rFont val="arial,sans,sans-serif"/>
      </rPr>
      <t xml:space="preserve"> </t>
    </r>
  </si>
  <si>
    <t>1- Provar la instal·lació correcta del servidor LDAP. Per fer-ho
1.a - Comprovar que els paquets estiguin instal·lats. sudo dpkg -l slapd ldap-utils
1.b - Comprovar que la configuració sigui correcta mitjançant la comanda sudo slaptest
1.c- Afegir un usuari:
Per fer-ho, s’escriu un arxiu test.ldif amb el contingut
#Substituir els valors sintesi i cat 
# pels dels seus dominis
dn:uid=test,dc=sintesi,dc=cat
objectclass: inetorgperson
uid: test
sn: test
cn: test
displayName: test
userpassword: test01
Executar la comanda:
ldapadd -D “cn=admin,dc=sintesi,dc=cat” -W -f test.ldif
(on síntesi i cat, canviar-ho pel domini que ells creïn i demanarà la contrasenya de l’administrador)
Comprovar la inserció:
ldapsearch -D “cn=admin,dc=sintesi,dc=cat” -W -b “dc=sintesi,dc=cat” test
1.d Comprovar integració amb tots els serveis i sessió d’usuari. Per fer-ho s’ha d’accedir a tots els serveis amb l’usuari test/test01.
1.e Comprovar carpeta. S’ha d’iniciar una sessió d’usuari al client (Linux o Windows) amb test/test01. Veure que apareix la carpeta repositori a l’escriptori. Que afegeixin un arxiu al servidor en aquella carpeta i veure que apareix en la del client. Ho poden haver fet per SAMBA o NFS i muntant la carpeta en el fitxer /etc/fstab.</t>
  </si>
  <si>
    <t>Monitoratge de xarxa</t>
  </si>
  <si>
    <t>Monitoriza tots els serveis que es pugui (per exemple amb Nagios)</t>
  </si>
  <si>
    <t>Entrar a la pàgina d’administració del monitor i veure la informació proporcionada. Comprovar missatges de correu amb avisos.</t>
  </si>
  <si>
    <t>Firewall</t>
  </si>
  <si>
    <r>
      <rPr>
        <rFont val="arial,sans,sans-serif"/>
      </rPr>
      <t xml:space="preserve">Reviseu: </t>
    </r>
    <r>
      <rPr>
        <rFont val="arial,sans,sans-serif"/>
        <color rgb="FF1155CC"/>
        <u/>
      </rPr>
      <t>https://help.mikrotik.com/docs/display/ROS/Firewall+and+Quality+of+Service</t>
    </r>
    <r>
      <rPr>
        <rFont val="arial,sans,sans-serif"/>
      </rPr>
      <t xml:space="preserve"> </t>
    </r>
  </si>
  <si>
    <t>Configuració de Firewall amb DMZ</t>
  </si>
  <si>
    <t>Configurar la seguretat perimètrica de la xarxa i serveis.</t>
  </si>
  <si>
    <t>Fer escaneig de ports per veure si el firewall actua. 
Comprovar l’accés a la xarxa i ús dels serveis locals.</t>
  </si>
  <si>
    <t>Wireless</t>
  </si>
  <si>
    <r>
      <rPr>
        <rFont val="arial,sans,sans-serif"/>
      </rPr>
      <t xml:space="preserve">Reviseu: </t>
    </r>
    <r>
      <rPr>
        <rFont val="arial,sans,sans-serif"/>
        <color rgb="FF1155CC"/>
        <u/>
      </rPr>
      <t>https://help.mikrotik.com/docs/display/ROS/Wireless</t>
    </r>
  </si>
  <si>
    <t>Part d’ampliació</t>
  </si>
  <si>
    <t>Implementació de la part d’ampliació escollida per a cada grup.
Cada proposta té els seus propis criteris</t>
  </si>
  <si>
    <t>Implementa els elements específics de l’enunciat proposat.</t>
  </si>
  <si>
    <t>Winbox</t>
  </si>
  <si>
    <r>
      <rPr>
        <rFont val="arial,sans,sans-serif"/>
      </rPr>
      <t xml:space="preserve">Reviseu: </t>
    </r>
    <r>
      <rPr>
        <rFont val="arial,sans,sans-serif"/>
        <color rgb="FF1155CC"/>
        <u/>
      </rPr>
      <t>https://help.mikrotik.com/docs/display/ROS/WinBox</t>
    </r>
  </si>
  <si>
    <t>Fase de proves</t>
  </si>
  <si>
    <t>Proves parcials del sistema durant el seguiment. Proves globals de validació del sistema al final del projecte.Part d’ampliació</t>
  </si>
  <si>
    <t>Definir proves genèriques de funcionament del sistema:
Crear usuari nou i accedir amb aquest a tots els serveis.
Iniciar sessió en escriptori
Guardar arxius en carpeta mòbil
Accedir a internet i aula virtual amb el nou usuari (accedir a curs).
Accedir amb VPN des d’un client remot (en cas de l’ampliació).
Destruir alguna part del sistema i restaurar.</t>
  </si>
  <si>
    <t>Presentació</t>
  </si>
  <si>
    <t>moodle</t>
  </si>
  <si>
    <t>Si poseu el domini i s'ha instal·lat amb IP</t>
  </si>
  <si>
    <t>Preparació de la presentació oral davant la comissió d’avaluació del projecte (presentació tipus Powerpoint i assaig).</t>
  </si>
  <si>
    <t>S'ha de modificar al config,php del directori moodle
Revisar el/els virtual host i el port.</t>
  </si>
  <si>
    <t>nagios</t>
  </si>
  <si>
    <t>No es detecta el servidor DHCP</t>
  </si>
  <si>
    <r>
      <rPr>
        <rFont val="arial,sans,sans-serif"/>
      </rPr>
      <t xml:space="preserve">Dintre el servei que falla, configurar el servei, reconfigurar, monitorear, i a la comanda de test "check_dhp! -s IP-SERVER -u -i enp0s17" o sigui afegir -u.
Revisar </t>
    </r>
    <r>
      <rPr>
        <rFont val="arial,sans,sans-serif"/>
        <color rgb="FF1155CC"/>
        <u/>
      </rPr>
      <t>https://nagios-plugins.org/doc/man/check_dhcp.html</t>
    </r>
  </si>
  <si>
    <t>pfsense</t>
  </si>
  <si>
    <t>No es pot fer ping a Pfsense</t>
  </si>
  <si>
    <t xml:space="preserve">Comprovar que es fa a la interfície LAN. La interfície WAN té blocat el ping i tot el tràfic de xarxa des de xarxes privades.
Configurar a la interfície WAN que NO bloqui tràfic de xarxes privades </t>
  </si>
  <si>
    <t>Desactivar IPv6 en Pfsense</t>
  </si>
  <si>
    <t>https://medium.com/cloud-security/disable-ipv6-on-pfsense-e9e80fa656fb</t>
  </si>
  <si>
    <t>Configurar SquidGuard a Pfsense</t>
  </si>
  <si>
    <r>
      <rPr>
        <rFont val="arial,sans,sans-serif"/>
      </rPr>
      <t xml:space="preserve">Reviseu </t>
    </r>
    <r>
      <rPr>
        <rFont val="arial,sans,sans-serif"/>
        <color rgb="FF1155CC"/>
        <u/>
      </rPr>
      <t>https://docs.netgate.com/pfsense/en/latest/packages/cache-proxy/squidguard.html</t>
    </r>
    <r>
      <rPr>
        <rFont val="arial,sans,sans-serif"/>
      </rPr>
      <t xml:space="preserve"> i </t>
    </r>
    <r>
      <rPr>
        <rFont val="arial,sans,sans-serif"/>
        <color rgb="FF1155CC"/>
        <u/>
      </rPr>
      <t>http://vtacius.github.io/firewall/instalacion/squidguard/</t>
    </r>
    <r>
      <rPr>
        <rFont val="arial,sans,sans-serif"/>
      </rPr>
      <t xml:space="preserve"> per comprovació manual</t>
    </r>
  </si>
  <si>
    <t>Com configurar VPN d'accés?</t>
  </si>
  <si>
    <r>
      <rPr>
        <rFont val="arial,sans,sans-serif"/>
      </rPr>
      <t xml:space="preserve">Reviseu: </t>
    </r>
    <r>
      <rPr>
        <rFont val="arial,sans,sans-serif"/>
        <color rgb="FF1155CC"/>
        <u/>
      </rPr>
      <t>https://gitlab.com/pautome/m11-asix-pub/-/blob/master/UF2-seguretat-activa/DIAPOS/03.NAS-VPN/NAS-VPN.md#vpn
https://gitlab.com/pautome/m11-asix-pub/-/blob/master/UF2-seguretat-activa/projecteUF2-2223/02-openvpn-pfsense.md</t>
    </r>
  </si>
  <si>
    <t>El pfsense es reinicia o no arrenca.</t>
  </si>
  <si>
    <r>
      <rPr>
        <rFont val="arial,sans,sans-serif"/>
      </rPr>
      <t xml:space="preserve">Potser hi ha un error de sistema d'arxius. Arrenqueu en mode single i escriviu fsck -fy / al menys 5 vegades o fins que digui que el sistema d'arxius està net
Reviseu: </t>
    </r>
    <r>
      <rPr>
        <rFont val="arial,sans,sans-serif"/>
        <color rgb="FF1155CC"/>
        <u/>
      </rPr>
      <t>https://docs.netgate.com/pfsense/en/latest/troubleshooting/filesystem-check.html</t>
    </r>
  </si>
  <si>
    <t>Configurar autenticació LDAP i comprovació</t>
  </si>
  <si>
    <r>
      <rPr>
        <rFont val="arial,sans,sans-serif"/>
      </rPr>
      <t xml:space="preserve">Reviseu: </t>
    </r>
    <r>
      <rPr>
        <rFont val="arial,sans,sans-serif"/>
        <color rgb="FF1155CC"/>
        <u/>
      </rPr>
      <t>https://techexpert.tips/pfsense/pfsense-ldap-authentication-active-directory/</t>
    </r>
  </si>
  <si>
    <t>seguretat</t>
  </si>
  <si>
    <t>Pla de contingència</t>
  </si>
  <si>
    <t>https://www.incibe.es/protege-tu-empresa/que-te-interesa/plan-contingencia-continuidad-negocio</t>
  </si>
  <si>
    <t>Herramientas de ciberseguridad</t>
  </si>
  <si>
    <r>
      <rPr>
        <rFont val="arial,sans,sans-serif"/>
      </rPr>
      <t xml:space="preserve">Herramientas de ciberseguridad Poitiques de seguretat i anàlisi de riscos </t>
    </r>
    <r>
      <rPr>
        <rFont val="arial,sans,sans-serif"/>
        <color rgb="FF1155CC"/>
        <u/>
      </rPr>
      <t>https://www.incibe.es/protege-tu-empresa/que-te-interesa</t>
    </r>
  </si>
  <si>
    <t>serveis</t>
  </si>
  <si>
    <t>Com configurar diferents serveis en Linux</t>
  </si>
  <si>
    <r>
      <rPr>
        <rFont val="arial,sans,sans-serif"/>
      </rPr>
      <t xml:space="preserve">Reviseu </t>
    </r>
    <r>
      <rPr>
        <rFont val="arial,sans,sans-serif"/>
        <color rgb="FF1155CC"/>
        <u/>
      </rPr>
      <t>https://www.server-world.info</t>
    </r>
  </si>
  <si>
    <t>virtualbox</t>
  </si>
  <si>
    <t>Virtualbox demana recompliar mòduls o firmar els mòduls per que a la BIOS tenim mode segur</t>
  </si>
  <si>
    <t>Opcions
1. Reinstal·lar Virtualbox
2. Canviar a la BIOS mode segur
3. Recompilar mòduls de Virtualbox usant la comanda que indica</t>
  </si>
  <si>
    <t>wordpress</t>
  </si>
  <si>
    <t>Apache, no deixa entrar a wp-admin</t>
  </si>
  <si>
    <t>Comprovar que el domini base és el mateix que heu configurat al Apache</t>
  </si>
  <si>
    <t xml:space="preserve">wordpress </t>
  </si>
  <si>
    <t>Moure el lloc Wordpress a un altre servidor, o canviar domini base</t>
  </si>
  <si>
    <r>
      <rPr>
        <rFont val="arial,sans,sans-serif"/>
      </rPr>
      <t xml:space="preserve">S'han de modificar valors a la BD de Wordpress. Es pot fer amb phpmyadmin o directament executant les comandes SQL:
UPDATE wp_options SET option_value = replace(option_value, 'http://olddomain.com', 'http://newdomain.com') WHERE option_name = 'home' OR option_name = 'siteurl';
UPDATE wp_posts SET guid = replace(guid, 'http://olddomain.com','http://newdomain.com');
UPDATE wp_posts SET post_content = replace(post_content, 'http://olddomain.com', 'http://newdomain.com');
UPDATE wp_postmeta SET meta_value = replace(meta_value, 'http://olddomain.com', 'http://newdomain.com');
Reviseu: </t>
    </r>
    <r>
      <rPr>
        <rFont val="arial,sans,sans-serif"/>
        <color rgb="FF1155CC"/>
        <u/>
      </rPr>
      <t xml:space="preserve">https://developer.wordpress.org/advanced-administration/upgrade/migrating/
</t>
    </r>
    <r>
      <rPr>
        <rFont val="arial,sans,sans-serif"/>
      </rPr>
      <t xml:space="preserve">També: </t>
    </r>
    <r>
      <rPr>
        <rFont val="arial,sans,sans-serif"/>
        <color rgb="FF1155CC"/>
        <u/>
      </rPr>
      <t>https://wordpress.stackexchange.com/questions/7693/what-sql-query-to-do-a-simple-find-and-replace</t>
    </r>
  </si>
  <si>
    <t>xarxa USB</t>
  </si>
  <si>
    <t>No es pot fer ping a màquines virtuals connectades amb interfície pont</t>
  </si>
  <si>
    <t>Descartar problemes de interfícies, cables eth, etc. configurant a les interfícies físiques IP's de la mateixa xarxa per fer ping entre màquines físiques connectades.
Reiniciar Virtualbox i si no, la màquina física</t>
  </si>
  <si>
    <t>Proves finals</t>
  </si>
  <si>
    <t>Sprint 1</t>
  </si>
  <si>
    <t>Sprint 2</t>
  </si>
  <si>
    <t>Sprint 3</t>
  </si>
  <si>
    <t>Sprint 4</t>
  </si>
  <si>
    <t>TRIBUNAL</t>
  </si>
  <si>
    <t>Recu Pràctic</t>
  </si>
  <si>
    <t>V</t>
  </si>
  <si>
    <t>P</t>
  </si>
  <si>
    <t>Fins avui</t>
  </si>
  <si>
    <t>Total
assistència</t>
  </si>
  <si>
    <t>TOTAL</t>
  </si>
  <si>
    <t>ROL</t>
  </si>
  <si>
    <t>Aula</t>
  </si>
  <si>
    <t>Arribada</t>
  </si>
  <si>
    <t>Presenta</t>
  </si>
  <si>
    <t>COMPOSICIÓ</t>
  </si>
  <si>
    <t>Data Revisió</t>
  </si>
  <si>
    <t>Responsable</t>
  </si>
  <si>
    <t>David Lizana</t>
  </si>
  <si>
    <t>Material i eines del projecte</t>
  </si>
  <si>
    <t>COMPRAR</t>
  </si>
  <si>
    <t>Fungibles</t>
  </si>
  <si>
    <t>Cessións</t>
  </si>
  <si>
    <t>Repartiment tasques</t>
  </si>
  <si>
    <t>Concepte</t>
  </si>
  <si>
    <t>Quantitat</t>
  </si>
  <si>
    <t>Data actualització</t>
  </si>
  <si>
    <t>Marca, model, dotació si s'escau,...</t>
  </si>
  <si>
    <t>Qtt Cedida</t>
  </si>
  <si>
    <t>qtt disponible</t>
  </si>
  <si>
    <t>localització</t>
  </si>
  <si>
    <t>Persona</t>
  </si>
  <si>
    <t>Data Inci</t>
  </si>
  <si>
    <t>Cable USB-C to USB 3.0 llarg</t>
  </si>
  <si>
    <t>AULA 23 - ARMARI 2 - SAFATA T3A1</t>
  </si>
  <si>
    <t>Mateix quantitat que rpi</t>
  </si>
  <si>
    <t>Cable USB-C to USB 3.0 mitjà</t>
  </si>
  <si>
    <t>Execució tasques</t>
  </si>
  <si>
    <t>Cable USB-C to USB 3.0 curt</t>
  </si>
  <si>
    <t>Cable USB-C to USB 3.0 extra-curt</t>
  </si>
  <si>
    <t>Cable HDMI to mini-HDMI</t>
  </si>
  <si>
    <t>Un per grup més 3 o 4 de recanvi</t>
  </si>
  <si>
    <t xml:space="preserve">Cable HDMI </t>
  </si>
  <si>
    <t>Cable Monitor RGB-M to RGB-M</t>
  </si>
  <si>
    <t>Cable USB-C to USB micro B</t>
  </si>
  <si>
    <t>Altres</t>
  </si>
  <si>
    <t>Conversor HDMI to RGB</t>
  </si>
  <si>
    <t>Carregador hub USB</t>
  </si>
  <si>
    <t>TOOQ - A01, A06, A07, A08, A10, A11, A12, A14</t>
  </si>
  <si>
    <t>comprar 12</t>
  </si>
  <si>
    <t>Cable USB mini</t>
  </si>
  <si>
    <t>Cable ethernet 1,5 metres</t>
  </si>
  <si>
    <t>AULA 23 - ARMARI 2 - SAFATA T4A1</t>
  </si>
  <si>
    <t>3 bovina</t>
  </si>
  <si>
    <t>300 connectors</t>
  </si>
  <si>
    <t>Cable ethernet curts</t>
  </si>
  <si>
    <t>Raspberry Pi 4 Model B</t>
  </si>
  <si>
    <t>4GB RAM, 1/28, 07/28,09/28,11/28,14/28, 16/28, 23/28, 24/28, 26/28, 01/14, 02/14, 04/14, 05/14, 06/14, 07/14, 08/14,09/14,10/14, 12/14</t>
  </si>
  <si>
    <t>AULA 23 - ARMARI 2 - SAFATA T7A1</t>
  </si>
  <si>
    <t>Hi han d'haver  40 operativees</t>
  </si>
  <si>
    <t>Raspberry Pi 3 Model B+</t>
  </si>
  <si>
    <t>RBP01,,RBP02,RBP03,RBP04,RBP05,,RBP06,RBP07,RBP08,RBP09,,RBP10,RBP011,RBP012, RBP013,RBP014</t>
  </si>
  <si>
    <t>Raspberry Pi 4 Model B nova</t>
  </si>
  <si>
    <t>Sense etiquetar</t>
  </si>
  <si>
    <t>Bossa amb elements pel muntatge dels racks de raspberry's</t>
  </si>
  <si>
    <t>No comptabilitzat</t>
  </si>
  <si>
    <t>Ventiladors, cargols, disipadors, mini-tornavissos...</t>
  </si>
  <si>
    <t>AULA 23 - ARMARI 2 - BOSSA AMB ETIQUETA - ELEMENTS-MUNTATGE-MINI-RACK-RASPBERRY</t>
  </si>
  <si>
    <t>Memòries Micro SD 16GB HC I</t>
  </si>
  <si>
    <t>AULA 23 - ARMARI 2 - CAIXETA AMB ETIQUETA - MEMÒRIES SD</t>
  </si>
  <si>
    <t>Memòries Micro SD 32GB HC I</t>
  </si>
  <si>
    <t>36 microsd</t>
  </si>
  <si>
    <t>Adaptadors Micro SD</t>
  </si>
  <si>
    <t>AULA 23 - ARMARI 2 - CAIXETA AMB ETIQUETA - ADAPTADORS MICRO SD</t>
  </si>
  <si>
    <t>Panell construcció tipus U amb ventilador muntat</t>
  </si>
  <si>
    <t>AULA 23 - ARMARI 2 - CAIXA AMB ETIQUETA - PANELLS MUNTATGE</t>
  </si>
  <si>
    <t>Panell construcció tipus U sense ventilador muntat</t>
  </si>
  <si>
    <t>Panell construcció tipus U sense forat</t>
  </si>
  <si>
    <t>Panell construcció quadrat amb ventilador muntat</t>
  </si>
  <si>
    <t>Panell construcció quadrat sense ventilador muntat</t>
  </si>
  <si>
    <t xml:space="preserve">Brides paquets </t>
  </si>
  <si>
    <t>AULA 23 - ARMARI 2 - CAIXA AMB ETIQUETA - ALTRES</t>
  </si>
  <si>
    <t>Cables Ethernet curts</t>
  </si>
  <si>
    <t>Router Microtik hex lite</t>
  </si>
  <si>
    <t>AULA 23 - ARMARI 2 - Balda de sota</t>
  </si>
  <si>
    <t>1 per grup</t>
  </si>
  <si>
    <t>Router Microtik hex series</t>
  </si>
  <si>
    <t>TP-link switch TL-SF1005D</t>
  </si>
  <si>
    <t>Netgear 5 port switch</t>
  </si>
  <si>
    <t>Microtik routerboard hap series</t>
  </si>
  <si>
    <t xml:space="preserve">1/6, 2/6, 3/6, 4/6, 5/6, 6/6, 1/14, 2/14, 3/14, 4/14, 5/14, 6/14, 7/14, 9/14, 10/14, 11/14, 13/14, 14/14 </t>
  </si>
  <si>
    <t>Teclat USB K120</t>
  </si>
  <si>
    <t>AULA 23 - ARMARI 2 - Balda del mig</t>
  </si>
  <si>
    <t>Cable allarg enrotllable10 metres</t>
  </si>
  <si>
    <t>Caixa gran cables ethernet totes mides</t>
  </si>
  <si>
    <t>20 aprox</t>
  </si>
  <si>
    <t>Caixa petita cables ethernet curts</t>
  </si>
  <si>
    <t>Adaptador USB to RJ45</t>
  </si>
  <si>
    <t>Comprar 10 minim</t>
  </si>
  <si>
    <t>Lector targetes amb cable</t>
  </si>
  <si>
    <t xml:space="preserve">Antenes wifi usb </t>
  </si>
  <si>
    <t>USB-RJ45 compacte blau</t>
  </si>
  <si>
    <t>Haurien de ser 15</t>
  </si>
  <si>
    <t>calc</t>
  </si>
  <si>
    <t>Material a comprar?</t>
  </si>
  <si>
    <t>A tenir en compte per la presentació de l'any vinent</t>
  </si>
  <si>
    <t>Grimpadora (s'ha trencat 1)</t>
  </si>
  <si>
    <t>Totes a partir de les 09:00 i que vinguin 1 hora abans</t>
  </si>
  <si>
    <t>Cintes per la DYMO</t>
  </si>
  <si>
    <t>Si hi ha algú que no es presenta a l'hora, alumne suspés i que es presenti sol a la recuperació.</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</si>
</sst>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
    <numFmt numFmtId="165" formatCode="dd/mm/yy"/>
    <numFmt numFmtId="166" formatCode="0.000"/>
    <numFmt numFmtId="167" formatCode="0.0"/>
    <numFmt numFmtId="168" formatCode="dd/mm"/>
    <numFmt numFmtId="169" formatCode="dd/MM/yyyy"/>
    <numFmt numFmtId="170" formatCode="dd&quot;/&quot;mm"/>
    <numFmt numFmtId="171" formatCode="0.0%"/>
  </numFmts>
  <fonts count="41">
    <font>
      <sz val="10.0"/>
      <color rgb="FF000000"/>
      <name val="Arial"/>
    </font>
    <font>
      <sz val="10.0"/>
    </font>
    <font>
      <b/>
    </font>
    <font/>
    <font>
      <sz val="17.0"/>
    </font>
    <font>
      <b/>
      <color rgb="FFFF0000"/>
    </font>
    <font>
      <b/>
      <name val="Arial"/>
    </font>
    <font>
      <b/>
      <sz val="10.0"/>
      <name val="Arial"/>
    </font>
    <font>
      <b/>
      <sz val="9.0"/>
      <name val="Arial"/>
    </font>
    <font>
      <name val="Arial"/>
    </font>
    <font>
      <sz val="9.0"/>
      <name val="Arial"/>
    </font>
    <font>
      <b/>
      <sz val="6.0"/>
      <color rgb="FF0B5394"/>
      <name val="Arial"/>
    </font>
    <font>
      <b/>
      <color rgb="FF000000"/>
      <name val="Arial"/>
    </font>
    <font>
      <color rgb="FF6AA84F"/>
    </font>
    <font>
      <sz val="9.0"/>
    </font>
    <font>
      <color rgb="FF000000"/>
    </font>
    <font>
      <b/>
      <name val="Comfortaa"/>
    </font>
    <font>
      <name val="Comfortaa"/>
    </font>
    <font>
      <b/>
      <sz val="12.0"/>
    </font>
    <font>
      <b/>
      <sz val="12.0"/>
      <name val="Times New Roman"/>
    </font>
    <font>
      <b/>
      <sz val="10.0"/>
      <name val="Times New Roman"/>
    </font>
    <font>
      <sz val="10.0"/>
      <name val="Arial"/>
    </font>
    <font>
      <b/>
      <sz val="11.0"/>
      <name val="Times New Roman"/>
    </font>
    <font>
      <b/>
      <sz val="6.0"/>
      <name val="Arial"/>
    </font>
    <font>
      <b/>
      <sz val="11.0"/>
      <name val="Arial"/>
    </font>
    <font>
      <sz val="11.0"/>
      <name val="Comfortaa"/>
    </font>
    <font>
      <b/>
      <sz val="11.0"/>
      <name val="Comfortaa"/>
    </font>
    <font>
      <u/>
      <color rgb="FF0000FF"/>
    </font>
    <font>
      <u/>
      <color rgb="FFEF4540"/>
    </font>
    <font>
      <color rgb="FFEF4540"/>
    </font>
    <font>
      <color rgb="FF000000"/>
      <name val="&quot;Arial&quot;"/>
    </font>
    <font>
      <u/>
      <color rgb="FF1155CC"/>
      <name val="&quot;Arial&quot;"/>
    </font>
    <font>
      <u/>
      <color rgb="FF000000"/>
      <name val="&quot;Arial&quot;"/>
    </font>
    <font>
      <u/>
      <color rgb="FF0000FF"/>
    </font>
    <font>
      <sz val="11.0"/>
      <color rgb="FF000000"/>
      <name val="Arial"/>
    </font>
    <font>
      <color rgb="FF0000FF"/>
      <name val="Arial"/>
    </font>
    <font>
      <color rgb="FF000000"/>
      <name val="Arial"/>
    </font>
    <font>
      <u/>
      <color rgb="FF0000FF"/>
      <name val="Arial"/>
    </font>
    <font>
      <u/>
      <color rgb="FF000000"/>
      <name val="Arial"/>
    </font>
    <font>
      <u/>
      <color rgb="FF1155CC"/>
      <name val="Arial"/>
    </font>
    <font>
      <color rgb="FF222222"/>
      <name val="Arial"/>
    </font>
  </fonts>
  <fills count="41">
    <fill>
      <patternFill patternType="none"/>
    </fill>
    <fill>
      <patternFill patternType="lightGray"/>
    </fill>
    <fill>
      <patternFill patternType="solid">
        <fgColor rgb="FFB6D7A8"/>
        <bgColor rgb="FFB6D7A8"/>
      </patternFill>
    </fill>
    <fill>
      <patternFill patternType="solid">
        <fgColor rgb="FFFFF2CC"/>
        <bgColor rgb="FFFFF2CC"/>
      </patternFill>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D0E0E3"/>
        <bgColor rgb="FFD0E0E3"/>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
      <patternFill patternType="solid">
        <fgColor rgb="FFF6B26B"/>
        <bgColor rgb="FFF6B26B"/>
      </patternFill>
    </fill>
    <fill>
      <patternFill patternType="solid">
        <fgColor rgb="FFFF00FF"/>
        <bgColor rgb="FFFF00FF"/>
      </patternFill>
    </fill>
    <fill>
      <patternFill patternType="solid">
        <fgColor rgb="FFFF0000"/>
        <bgColor rgb="FFFF0000"/>
      </patternFill>
    </fill>
    <fill>
      <patternFill patternType="solid">
        <fgColor rgb="FFCFE2F3"/>
        <bgColor rgb="FFCFE2F3"/>
      </patternFill>
    </fill>
    <fill>
      <patternFill patternType="solid">
        <fgColor rgb="FFE06666"/>
        <bgColor rgb="FFE06666"/>
      </patternFill>
    </fill>
    <fill>
      <patternFill patternType="solid">
        <fgColor rgb="FFB4A7D6"/>
        <bgColor rgb="FFB4A7D6"/>
      </patternFill>
    </fill>
    <fill>
      <patternFill patternType="solid">
        <fgColor rgb="FF3C78D8"/>
        <bgColor rgb="FF3C78D8"/>
      </patternFill>
    </fill>
    <fill>
      <patternFill patternType="solid">
        <fgColor rgb="FF6AA84F"/>
        <bgColor rgb="FF6AA84F"/>
      </patternFill>
    </fill>
    <fill>
      <patternFill patternType="solid">
        <fgColor rgb="FFEAD1DC"/>
        <bgColor rgb="FFEAD1DC"/>
      </patternFill>
    </fill>
    <fill>
      <patternFill patternType="solid">
        <fgColor rgb="FFD9D2E9"/>
        <bgColor rgb="FFD9D2E9"/>
      </patternFill>
    </fill>
    <fill>
      <patternFill patternType="solid">
        <fgColor rgb="FF9FC5E8"/>
        <bgColor rgb="FF9FC5E8"/>
      </patternFill>
    </fill>
    <fill>
      <patternFill patternType="solid">
        <fgColor rgb="FFC9DAF8"/>
        <bgColor rgb="FFC9DAF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FA8DC"/>
        <bgColor rgb="FF6FA8DC"/>
      </patternFill>
    </fill>
    <fill>
      <patternFill patternType="solid">
        <fgColor rgb="FFFFD966"/>
        <bgColor rgb="FFFFD966"/>
      </patternFill>
    </fill>
    <fill>
      <patternFill patternType="solid">
        <fgColor rgb="FFC27BA0"/>
        <bgColor rgb="FFC27BA0"/>
      </patternFill>
    </fill>
    <fill>
      <patternFill patternType="solid">
        <fgColor rgb="FF4A86E8"/>
        <bgColor rgb="FF4A86E8"/>
      </patternFill>
    </fill>
    <fill>
      <patternFill patternType="solid">
        <fgColor rgb="FF000000"/>
        <bgColor rgb="FF000000"/>
      </patternFill>
    </fill>
    <fill>
      <patternFill patternType="solid">
        <fgColor rgb="FF9900FF"/>
        <bgColor rgb="FF9900FF"/>
      </patternFill>
    </fill>
    <fill>
      <patternFill patternType="solid">
        <fgColor rgb="FFB4C7DC"/>
        <bgColor rgb="FFB4C7DC"/>
      </patternFill>
    </fill>
    <fill>
      <patternFill patternType="solid">
        <fgColor rgb="FFCCCCCC"/>
        <bgColor rgb="FFCCCCCC"/>
      </patternFill>
    </fill>
    <fill>
      <patternFill patternType="solid">
        <fgColor rgb="FFB7B7B7"/>
        <bgColor rgb="FFB7B7B7"/>
      </patternFill>
    </fill>
    <fill>
      <patternFill patternType="solid">
        <fgColor rgb="FFFCE5CD"/>
        <bgColor rgb="FFFCE5CD"/>
      </patternFill>
    </fill>
    <fill>
      <patternFill patternType="solid">
        <fgColor rgb="FFF4CCCC"/>
        <bgColor rgb="FFF4CCCC"/>
      </patternFill>
    </fill>
    <fill>
      <patternFill patternType="solid">
        <fgColor rgb="FF76A5AF"/>
        <bgColor rgb="FF76A5AF"/>
      </patternFill>
    </fill>
    <fill>
      <patternFill patternType="solid">
        <fgColor rgb="FF3D85C6"/>
        <bgColor rgb="FF3D85C6"/>
      </patternFill>
    </fill>
    <fill>
      <patternFill patternType="solid">
        <fgColor rgb="FFA4C2F4"/>
        <bgColor rgb="FFA4C2F4"/>
      </patternFill>
    </fill>
    <fill>
      <patternFill patternType="solid">
        <fgColor rgb="FFD5A6BD"/>
        <bgColor rgb="FFD5A6BD"/>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left style="thin">
        <color rgb="FF000000"/>
      </lef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00">
    <xf borderId="0" fillId="0" fontId="0" numFmtId="0" xfId="0" applyAlignment="1" applyFont="1">
      <alignment readingOrder="0" shrinkToFit="0" vertical="bottom" wrapText="1"/>
    </xf>
    <xf borderId="0" fillId="0" fontId="1" numFmtId="0" xfId="0" applyAlignment="1" applyFont="1">
      <alignment shrinkToFit="0" wrapText="1"/>
    </xf>
    <xf borderId="1" fillId="2" fontId="2" numFmtId="0" xfId="0" applyAlignment="1" applyBorder="1" applyFill="1" applyFont="1">
      <alignment horizontal="center" readingOrder="0" shrinkToFit="0" wrapText="1"/>
    </xf>
    <xf borderId="2" fillId="0" fontId="3" numFmtId="0" xfId="0" applyAlignment="1" applyBorder="1" applyFont="1">
      <alignment shrinkToFit="0" wrapText="1"/>
    </xf>
    <xf borderId="3" fillId="3" fontId="4" numFmtId="0" xfId="0" applyAlignment="1" applyBorder="1" applyFill="1" applyFont="1">
      <alignment horizontal="center" readingOrder="0" shrinkToFit="0" wrapText="1"/>
    </xf>
    <xf borderId="4" fillId="0" fontId="3" numFmtId="0" xfId="0" applyAlignment="1" applyBorder="1" applyFont="1">
      <alignment shrinkToFit="0" wrapText="1"/>
    </xf>
    <xf borderId="0" fillId="4" fontId="5" numFmtId="0" xfId="0" applyAlignment="1" applyFill="1" applyFont="1">
      <alignment readingOrder="0" shrinkToFit="0" wrapText="1"/>
    </xf>
    <xf borderId="5" fillId="5" fontId="6" numFmtId="0" xfId="0" applyAlignment="1" applyBorder="1" applyFill="1" applyFont="1">
      <alignment shrinkToFit="0" vertical="bottom" wrapText="1"/>
    </xf>
    <xf borderId="6" fillId="0" fontId="3" numFmtId="0" xfId="0" applyAlignment="1" applyBorder="1" applyFont="1">
      <alignment shrinkToFit="0" wrapText="1"/>
    </xf>
    <xf borderId="0" fillId="0" fontId="3" numFmtId="0" xfId="0" applyAlignment="1" applyFont="1">
      <alignment shrinkToFit="0" wrapText="1"/>
    </xf>
    <xf borderId="7" fillId="5" fontId="6" numFmtId="0" xfId="0" applyAlignment="1" applyBorder="1" applyFill="1" applyFont="1">
      <alignment shrinkToFit="0" vertical="bottom" wrapText="1"/>
    </xf>
    <xf borderId="2" fillId="2" fontId="2" numFmtId="0" xfId="0" applyAlignment="1" applyBorder="1" applyFill="1" applyFont="1">
      <alignment horizontal="center" readingOrder="0" shrinkToFit="0" wrapText="1"/>
    </xf>
    <xf borderId="7" fillId="5" fontId="7" numFmtId="0" xfId="0" applyAlignment="1" applyBorder="1" applyFill="1" applyFont="1">
      <alignment shrinkToFit="0" vertical="bottom" wrapText="1"/>
    </xf>
    <xf borderId="8" fillId="0" fontId="3" numFmtId="0" xfId="0" applyAlignment="1" applyBorder="1" applyFont="1">
      <alignment shrinkToFit="0" wrapText="1"/>
    </xf>
    <xf borderId="9" fillId="0" fontId="3" numFmtId="0" xfId="0" applyAlignment="1" applyBorder="1" applyFont="1">
      <alignment shrinkToFit="0" wrapText="1"/>
    </xf>
    <xf borderId="4" fillId="2" fontId="2" numFmtId="0" xfId="0" applyAlignment="1" applyBorder="1" applyFill="1" applyFont="1">
      <alignment horizontal="center" readingOrder="0" shrinkToFit="0" wrapText="1"/>
    </xf>
    <xf borderId="7" fillId="0" fontId="3" numFmtId="0" xfId="0" applyAlignment="1" applyBorder="1" applyFont="1">
      <alignment shrinkToFit="0" wrapText="1"/>
    </xf>
    <xf borderId="0" fillId="0" fontId="2" numFmtId="0" xfId="0" applyAlignment="1" applyFont="1">
      <alignment horizontal="center" readingOrder="0" shrinkToFit="0" wrapText="1"/>
    </xf>
    <xf borderId="0" fillId="2" fontId="2" numFmtId="0" xfId="0" applyAlignment="1" applyFill="1" applyFont="1">
      <alignment horizontal="center" readingOrder="0" shrinkToFit="0" wrapText="1"/>
    </xf>
    <xf borderId="10" fillId="0" fontId="3" numFmtId="0" xfId="0" applyAlignment="1" applyBorder="1" applyFont="1">
      <alignment shrinkToFit="0" wrapText="1"/>
    </xf>
    <xf quotePrefix="1" borderId="0" fillId="4" fontId="8" numFmtId="0" xfId="0" applyAlignment="1" applyFill="1" applyFont="1">
      <alignment horizontal="center" shrinkToFit="0" vertical="center" wrapText="1"/>
    </xf>
    <xf borderId="11" fillId="5" fontId="2" numFmtId="0" xfId="0" applyAlignment="1" applyBorder="1" applyFill="1" applyFont="1">
      <alignment readingOrder="0" shrinkToFit="0" wrapText="1"/>
    </xf>
    <xf borderId="12" fillId="0" fontId="3" numFmtId="0" xfId="0" applyAlignment="1" applyBorder="1" applyFont="1">
      <alignment shrinkToFit="0" wrapText="1"/>
    </xf>
    <xf borderId="0" fillId="0" fontId="9" numFmtId="0" xfId="0" applyAlignment="1" applyFont="1">
      <alignment shrinkToFit="0" vertical="center" wrapText="1"/>
    </xf>
    <xf borderId="9" fillId="0" fontId="2" numFmtId="0" xfId="0" applyAlignment="1" applyBorder="1" applyFont="1">
      <alignment horizontal="center" shrinkToFit="0" wrapText="1"/>
    </xf>
    <xf borderId="1" fillId="5" fontId="2" numFmtId="0" xfId="0" applyAlignment="1" applyBorder="1" applyFill="1" applyFont="1">
      <alignment readingOrder="0" shrinkToFit="0" wrapText="1"/>
    </xf>
    <xf borderId="0" fillId="0" fontId="9" numFmtId="0" xfId="0" applyAlignment="1" applyFont="1">
      <alignment horizontal="right" shrinkToFit="0" vertical="bottom" wrapText="1"/>
    </xf>
    <xf borderId="9" fillId="4" fontId="6" numFmtId="0" xfId="0" applyAlignment="1" applyBorder="1" applyFill="1" applyFont="1">
      <alignment horizontal="right" shrinkToFit="0" vertical="bottom" wrapText="1"/>
    </xf>
    <xf borderId="0" fillId="0" fontId="9" numFmtId="164" xfId="0" applyAlignment="1" applyFont="1" applyNumberFormat="1">
      <alignment horizontal="right" readingOrder="0" shrinkToFit="0" vertical="bottom" wrapText="1"/>
    </xf>
    <xf borderId="9" fillId="0" fontId="2" numFmtId="20" xfId="0" applyAlignment="1" applyBorder="1" applyFont="1" applyNumberFormat="1">
      <alignment horizontal="center" readingOrder="0" shrinkToFit="0" wrapText="1"/>
    </xf>
    <xf borderId="0" fillId="0" fontId="9" numFmtId="0" xfId="0" applyAlignment="1" applyFont="1">
      <alignment shrinkToFit="0" vertical="bottom" wrapText="1"/>
    </xf>
    <xf borderId="0" fillId="0" fontId="3" numFmtId="0" xfId="0" applyAlignment="1" applyFont="1">
      <alignment readingOrder="0" shrinkToFit="0" wrapText="1"/>
    </xf>
    <xf borderId="1" fillId="5" fontId="2" numFmtId="0" xfId="0" applyAlignment="1" applyBorder="1" applyFill="1" applyFont="1">
      <alignment readingOrder="0" shrinkToFit="0" wrapText="1"/>
    </xf>
    <xf borderId="0" fillId="6" fontId="3" numFmtId="0" xfId="0" applyAlignment="1" applyFill="1" applyFont="1">
      <alignment readingOrder="0" shrinkToFit="0" wrapText="1"/>
    </xf>
    <xf borderId="13" fillId="0" fontId="9" numFmtId="0" xfId="0" applyAlignment="1" applyBorder="1" applyFont="1">
      <alignment shrinkToFit="0" vertical="center" wrapText="1"/>
    </xf>
    <xf borderId="0" fillId="7" fontId="3" numFmtId="0" xfId="0" applyAlignment="1" applyFill="1" applyFont="1">
      <alignment readingOrder="0" shrinkToFit="0" wrapText="1"/>
    </xf>
    <xf borderId="0" fillId="5" fontId="2" numFmtId="0" xfId="0" applyAlignment="1" applyFill="1" applyFont="1">
      <alignment readingOrder="0" shrinkToFit="0" wrapText="1"/>
    </xf>
    <xf borderId="0" fillId="4" fontId="3" numFmtId="0" xfId="0" applyAlignment="1" applyFill="1" applyFont="1">
      <alignment readingOrder="0" shrinkToFit="0" wrapText="1"/>
    </xf>
    <xf borderId="13" fillId="0" fontId="9" numFmtId="0" xfId="0" applyAlignment="1" applyBorder="1" applyFont="1">
      <alignment readingOrder="0" shrinkToFit="0" vertical="center" wrapText="1"/>
    </xf>
    <xf borderId="0" fillId="0" fontId="2" numFmtId="20" xfId="0" applyAlignment="1" applyFont="1" applyNumberFormat="1">
      <alignment horizontal="center" readingOrder="0" shrinkToFit="0" wrapText="1"/>
    </xf>
    <xf borderId="0" fillId="3" fontId="3" numFmtId="0" xfId="0" applyAlignment="1" applyFill="1" applyFont="1">
      <alignment horizontal="center" readingOrder="0" shrinkToFit="0" vertical="center" wrapText="1"/>
    </xf>
    <xf borderId="0" fillId="8" fontId="3" numFmtId="0" xfId="0" applyAlignment="1" applyFill="1" applyFont="1">
      <alignment readingOrder="0" shrinkToFit="0" wrapText="1"/>
    </xf>
    <xf borderId="0" fillId="0" fontId="10" numFmtId="0" xfId="0" applyAlignment="1" applyFont="1">
      <alignment shrinkToFit="0" vertical="bottom" wrapText="1"/>
    </xf>
    <xf borderId="0" fillId="3" fontId="3" numFmtId="0" xfId="0" applyAlignment="1" applyFill="1" applyFont="1">
      <alignment readingOrder="0" shrinkToFit="0" wrapText="1"/>
    </xf>
    <xf borderId="0" fillId="9" fontId="3" numFmtId="0" xfId="0" applyAlignment="1" applyFill="1" applyFont="1">
      <alignment readingOrder="0" shrinkToFit="0" wrapText="1"/>
    </xf>
    <xf borderId="0" fillId="3" fontId="3" numFmtId="0" xfId="0" applyAlignment="1" applyFill="1" applyFont="1">
      <alignment readingOrder="0" shrinkToFit="0" wrapText="1"/>
    </xf>
    <xf borderId="9" fillId="0" fontId="6" numFmtId="0" xfId="0" applyAlignment="1" applyBorder="1" applyFont="1">
      <alignment shrinkToFit="0" vertical="bottom" wrapText="1"/>
    </xf>
    <xf borderId="14" fillId="0" fontId="3" numFmtId="0" xfId="0" applyAlignment="1" applyBorder="1" applyFont="1">
      <alignment shrinkToFit="0" wrapText="1"/>
    </xf>
    <xf borderId="0" fillId="3" fontId="3" numFmtId="0" xfId="0" applyAlignment="1" applyFill="1" applyFont="1">
      <alignment shrinkToFit="0" wrapText="1"/>
    </xf>
    <xf borderId="0" fillId="0" fontId="9" numFmtId="0" xfId="0" applyAlignment="1" applyFont="1">
      <alignment shrinkToFit="0" vertical="top" wrapText="1"/>
    </xf>
    <xf borderId="0" fillId="10" fontId="9" numFmtId="0" xfId="0" applyAlignment="1" applyFill="1" applyFont="1">
      <alignment shrinkToFit="0" vertical="bottom" wrapText="1"/>
    </xf>
    <xf borderId="0" fillId="3" fontId="10" numFmtId="0" xfId="0" applyAlignment="1" applyFill="1" applyFont="1">
      <alignment horizontal="right" shrinkToFit="0" vertical="bottom" wrapText="1"/>
    </xf>
    <xf borderId="0" fillId="11" fontId="10" numFmtId="0" xfId="0" applyAlignment="1" applyFill="1" applyFont="1">
      <alignment horizontal="right" shrinkToFit="0" vertical="bottom" wrapText="1"/>
    </xf>
    <xf borderId="0" fillId="3" fontId="9" numFmtId="0" xfId="0" applyAlignment="1" applyFill="1" applyFont="1">
      <alignment shrinkToFit="0" vertical="bottom" wrapText="1"/>
    </xf>
    <xf borderId="0" fillId="12" fontId="3" numFmtId="0" xfId="0" applyAlignment="1" applyFill="1" applyFont="1">
      <alignment readingOrder="0" shrinkToFit="0" wrapText="1"/>
    </xf>
    <xf borderId="0" fillId="13" fontId="3" numFmtId="0" xfId="0" applyAlignment="1" applyFill="1" applyFont="1">
      <alignment readingOrder="0" shrinkToFit="0" wrapText="1"/>
    </xf>
    <xf borderId="0" fillId="0" fontId="9" numFmtId="0" xfId="0" applyAlignment="1" applyFont="1">
      <alignment readingOrder="0" shrinkToFit="0" vertical="bottom" wrapText="1"/>
    </xf>
    <xf borderId="0" fillId="3" fontId="9" numFmtId="0" xfId="0" applyAlignment="1" applyFill="1" applyFont="1">
      <alignment readingOrder="0" shrinkToFit="0" vertical="bottom" wrapText="1"/>
    </xf>
    <xf borderId="0" fillId="0" fontId="10" numFmtId="0" xfId="0" applyAlignment="1" applyFont="1">
      <alignment horizontal="right" shrinkToFit="0" vertical="bottom" wrapText="1"/>
    </xf>
    <xf borderId="11" fillId="13" fontId="3" numFmtId="0" xfId="0" applyAlignment="1" applyBorder="1" applyFill="1" applyFont="1">
      <alignment readingOrder="0" shrinkToFit="0" wrapText="1"/>
    </xf>
    <xf borderId="0" fillId="10" fontId="10" numFmtId="0" xfId="0" applyAlignment="1" applyFill="1" applyFont="1">
      <alignment horizontal="right" shrinkToFit="0" vertical="bottom" wrapText="1"/>
    </xf>
    <xf borderId="5" fillId="0" fontId="3" numFmtId="20" xfId="0" applyAlignment="1" applyBorder="1" applyFont="1" applyNumberFormat="1">
      <alignment readingOrder="0" shrinkToFit="0" wrapText="1"/>
    </xf>
    <xf borderId="0" fillId="10" fontId="11" numFmtId="0" xfId="0" applyAlignment="1" applyFill="1" applyFont="1">
      <alignment horizontal="center" shrinkToFit="0" wrapText="1"/>
    </xf>
    <xf borderId="7" fillId="13" fontId="3" numFmtId="0" xfId="0" applyAlignment="1" applyBorder="1" applyFill="1" applyFont="1">
      <alignment readingOrder="0" shrinkToFit="0" wrapText="1"/>
    </xf>
    <xf borderId="7" fillId="0" fontId="2" numFmtId="20" xfId="0" applyAlignment="1" applyBorder="1" applyFont="1" applyNumberFormat="1">
      <alignment horizontal="center" readingOrder="0" shrinkToFit="0" wrapText="1"/>
    </xf>
    <xf borderId="0" fillId="14" fontId="10" numFmtId="0" xfId="0" applyAlignment="1" applyFill="1" applyFont="1">
      <alignment horizontal="right" shrinkToFit="0" vertical="bottom" wrapText="1"/>
    </xf>
    <xf borderId="7" fillId="0" fontId="3" numFmtId="0" xfId="0" applyAlignment="1" applyBorder="1" applyFont="1">
      <alignment readingOrder="0" shrinkToFit="0" wrapText="1"/>
    </xf>
    <xf borderId="7" fillId="3" fontId="3" numFmtId="0" xfId="0" applyAlignment="1" applyBorder="1" applyFill="1" applyFont="1">
      <alignment readingOrder="0" shrinkToFit="0" wrapText="1"/>
    </xf>
    <xf borderId="7" fillId="12" fontId="3" numFmtId="0" xfId="0" applyAlignment="1" applyBorder="1" applyFill="1" applyFont="1">
      <alignment readingOrder="0" shrinkToFit="0" wrapText="1"/>
    </xf>
    <xf borderId="5" fillId="0" fontId="6" numFmtId="0" xfId="0" applyAlignment="1" applyBorder="1" applyFont="1">
      <alignment shrinkToFit="0" vertical="bottom" wrapText="1"/>
    </xf>
    <xf borderId="0" fillId="7" fontId="3" numFmtId="0" xfId="0" applyAlignment="1" applyFill="1" applyFont="1">
      <alignment horizontal="center" readingOrder="0" shrinkToFit="0" vertical="center" wrapText="1"/>
    </xf>
    <xf borderId="7" fillId="0" fontId="9" numFmtId="0" xfId="0" applyAlignment="1" applyBorder="1" applyFont="1">
      <alignment readingOrder="0" shrinkToFit="0" vertical="bottom" wrapText="1"/>
    </xf>
    <xf borderId="0" fillId="2" fontId="6" numFmtId="0" xfId="0" applyAlignment="1" applyFill="1" applyFont="1">
      <alignment horizontal="center" readingOrder="0" shrinkToFit="0" wrapText="1"/>
    </xf>
    <xf borderId="7" fillId="0" fontId="9" numFmtId="0" xfId="0" applyAlignment="1" applyBorder="1" applyFont="1">
      <alignment shrinkToFit="0" vertical="bottom" wrapText="1"/>
    </xf>
    <xf borderId="0" fillId="7" fontId="3" numFmtId="0" xfId="0" applyAlignment="1" applyFill="1" applyFont="1">
      <alignment shrinkToFit="0" wrapText="1"/>
    </xf>
    <xf borderId="7" fillId="9" fontId="3" numFmtId="0" xfId="0" applyAlignment="1" applyBorder="1" applyFill="1" applyFont="1">
      <alignment readingOrder="0" shrinkToFit="0" wrapText="1"/>
    </xf>
    <xf borderId="15" fillId="0" fontId="3" numFmtId="0" xfId="0" applyAlignment="1" applyBorder="1" applyFont="1">
      <alignment shrinkToFit="0" wrapText="1"/>
    </xf>
    <xf borderId="0" fillId="7" fontId="3" numFmtId="0" xfId="0" applyAlignment="1" applyFill="1" applyFont="1">
      <alignment shrinkToFit="0" wrapText="1"/>
    </xf>
    <xf borderId="0" fillId="10" fontId="9" numFmtId="0" xfId="0" applyAlignment="1" applyFill="1" applyFont="1">
      <alignment shrinkToFit="0" wrapText="1"/>
    </xf>
    <xf borderId="0" fillId="7" fontId="3" numFmtId="0" xfId="0" applyAlignment="1" applyFill="1" applyFont="1">
      <alignment readingOrder="0" shrinkToFit="0" wrapText="1"/>
    </xf>
    <xf borderId="0" fillId="7" fontId="3" numFmtId="0" xfId="0" applyAlignment="1" applyFill="1" applyFont="1">
      <alignment readingOrder="0" shrinkToFit="0" vertical="top" wrapText="1"/>
    </xf>
    <xf borderId="13" fillId="0" fontId="9" numFmtId="0" xfId="0" applyAlignment="1" applyBorder="1" applyFont="1">
      <alignment shrinkToFit="0" vertical="bottom" wrapText="1"/>
    </xf>
    <xf borderId="0" fillId="4" fontId="10" numFmtId="0" xfId="0" applyAlignment="1" applyFill="1" applyFont="1">
      <alignment horizontal="right" shrinkToFit="0" vertical="bottom" wrapText="1"/>
    </xf>
    <xf borderId="0" fillId="7" fontId="3" numFmtId="0" xfId="0" applyAlignment="1" applyFill="1" applyFont="1">
      <alignment readingOrder="0" shrinkToFit="0" vertical="top" wrapText="1"/>
    </xf>
    <xf borderId="11" fillId="2" fontId="6" numFmtId="0" xfId="0" applyAlignment="1" applyBorder="1" applyFill="1" applyFont="1">
      <alignment horizontal="center" readingOrder="0" shrinkToFit="0" wrapText="1"/>
    </xf>
    <xf borderId="0" fillId="15" fontId="10" numFmtId="0" xfId="0" applyAlignment="1" applyFill="1" applyFont="1">
      <alignment horizontal="right" shrinkToFit="0" vertical="bottom" wrapText="1"/>
    </xf>
    <xf borderId="0" fillId="16" fontId="3" numFmtId="0" xfId="0" applyAlignment="1" applyFill="1" applyFont="1">
      <alignment shrinkToFit="0" wrapText="1"/>
    </xf>
    <xf borderId="11" fillId="2" fontId="6" numFmtId="0" xfId="0" applyAlignment="1" applyBorder="1" applyFill="1" applyFont="1">
      <alignment horizontal="center" shrinkToFit="0" wrapText="1"/>
    </xf>
    <xf borderId="0" fillId="17" fontId="3" numFmtId="0" xfId="0" applyAlignment="1" applyFill="1" applyFont="1">
      <alignment shrinkToFit="0" wrapText="1"/>
    </xf>
    <xf borderId="0" fillId="18" fontId="10" numFmtId="0" xfId="0" applyAlignment="1" applyFill="1" applyFont="1">
      <alignment horizontal="right" shrinkToFit="0" vertical="bottom" wrapText="1"/>
    </xf>
    <xf borderId="0" fillId="2" fontId="12" numFmtId="0" xfId="0" applyAlignment="1" applyFill="1" applyFont="1">
      <alignment horizontal="center" readingOrder="0" shrinkToFit="0" wrapText="1"/>
    </xf>
    <xf borderId="0" fillId="9" fontId="10" numFmtId="0" xfId="0" applyAlignment="1" applyFill="1" applyFont="1">
      <alignment horizontal="right" shrinkToFit="0" vertical="bottom" wrapText="1"/>
    </xf>
    <xf borderId="11" fillId="6" fontId="3" numFmtId="0" xfId="0" applyAlignment="1" applyBorder="1" applyFill="1" applyFont="1">
      <alignment readingOrder="0" shrinkToFit="0" wrapText="1"/>
    </xf>
    <xf borderId="0" fillId="3" fontId="9" numFmtId="0" xfId="0" applyAlignment="1" applyFill="1" applyFont="1">
      <alignment shrinkToFit="0" vertical="bottom" wrapText="1"/>
    </xf>
    <xf borderId="0" fillId="7" fontId="6" numFmtId="0" xfId="0" applyAlignment="1" applyFill="1" applyFont="1">
      <alignment horizontal="center" readingOrder="0" shrinkToFit="0" vertical="center" wrapText="1"/>
    </xf>
    <xf borderId="0" fillId="19" fontId="3" numFmtId="0" xfId="0" applyAlignment="1" applyFill="1" applyFont="1">
      <alignment horizontal="center" readingOrder="0" shrinkToFit="0" vertical="center" wrapText="1"/>
    </xf>
    <xf borderId="0" fillId="7" fontId="6" numFmtId="0" xfId="0" applyAlignment="1" applyFill="1" applyFont="1">
      <alignment horizontal="center" readingOrder="0" shrinkToFit="0" wrapText="1"/>
    </xf>
    <xf borderId="0" fillId="19" fontId="3" numFmtId="0" xfId="0" applyAlignment="1" applyFill="1" applyFont="1">
      <alignment readingOrder="0" shrinkToFit="0" wrapText="1"/>
    </xf>
    <xf borderId="0" fillId="19" fontId="3" numFmtId="0" xfId="0" applyAlignment="1" applyFill="1" applyFont="1">
      <alignment readingOrder="0" shrinkToFit="0" wrapText="1"/>
    </xf>
    <xf borderId="0" fillId="19" fontId="3" numFmtId="0" xfId="0" applyAlignment="1" applyFill="1" applyFont="1">
      <alignment shrinkToFit="0" wrapText="1"/>
    </xf>
    <xf borderId="0" fillId="6" fontId="9" numFmtId="0" xfId="0" applyAlignment="1" applyFill="1" applyFont="1">
      <alignment horizontal="center" readingOrder="0" shrinkToFit="0" vertical="center" wrapText="1"/>
    </xf>
    <xf borderId="7" fillId="6" fontId="3" numFmtId="0" xfId="0" applyAlignment="1" applyBorder="1" applyFill="1" applyFont="1">
      <alignment readingOrder="0" shrinkToFit="0" wrapText="1"/>
    </xf>
    <xf borderId="0" fillId="19" fontId="3" numFmtId="0" xfId="0" applyAlignment="1" applyFill="1" applyFont="1">
      <alignment shrinkToFit="0" wrapText="1"/>
    </xf>
    <xf borderId="0" fillId="0" fontId="2" numFmtId="0" xfId="0" applyAlignment="1" applyFont="1">
      <alignment readingOrder="0" shrinkToFit="0" wrapText="1"/>
    </xf>
    <xf borderId="0" fillId="20" fontId="3" numFmtId="0" xfId="0" applyAlignment="1" applyFill="1" applyFont="1">
      <alignment horizontal="center" readingOrder="0" shrinkToFit="0" vertical="center" wrapText="1"/>
    </xf>
    <xf borderId="0" fillId="20" fontId="3" numFmtId="0" xfId="0" applyAlignment="1" applyFill="1" applyFont="1">
      <alignment readingOrder="0" shrinkToFit="0" wrapText="1"/>
    </xf>
    <xf borderId="0" fillId="20" fontId="3" numFmtId="0" xfId="0" applyAlignment="1" applyFill="1" applyFont="1">
      <alignment readingOrder="0" shrinkToFit="0" wrapText="1"/>
    </xf>
    <xf borderId="0" fillId="3" fontId="6" numFmtId="0" xfId="0" applyAlignment="1" applyFill="1" applyFont="1">
      <alignment horizontal="center" readingOrder="0" shrinkToFit="0" vertical="center" wrapText="1"/>
    </xf>
    <xf borderId="0" fillId="3" fontId="6" numFmtId="0" xfId="0" applyAlignment="1" applyFill="1" applyFont="1">
      <alignment horizontal="center" readingOrder="0" shrinkToFit="0" wrapText="1"/>
    </xf>
    <xf borderId="0" fillId="0" fontId="2" numFmtId="0" xfId="0" applyAlignment="1" applyFont="1">
      <alignment shrinkToFit="0" wrapText="1"/>
    </xf>
    <xf borderId="0" fillId="21" fontId="10" numFmtId="0" xfId="0" applyAlignment="1" applyFill="1" applyFont="1">
      <alignment horizontal="right" shrinkToFit="0" vertical="bottom" wrapText="1"/>
    </xf>
    <xf borderId="0" fillId="0" fontId="9" numFmtId="165" xfId="0" applyAlignment="1" applyFont="1" applyNumberFormat="1">
      <alignment horizontal="right" readingOrder="0" shrinkToFit="0" vertical="bottom" wrapText="1"/>
    </xf>
    <xf borderId="0" fillId="6" fontId="9" numFmtId="0" xfId="0" applyAlignment="1" applyFill="1" applyFont="1">
      <alignment horizontal="center" readingOrder="0" shrinkToFit="0" vertical="center" wrapText="1"/>
    </xf>
    <xf borderId="0" fillId="0" fontId="9" numFmtId="0" xfId="0" applyAlignment="1" applyFont="1">
      <alignment shrinkToFit="0" vertical="bottom" wrapText="1"/>
    </xf>
    <xf borderId="0" fillId="20" fontId="9" numFmtId="0" xfId="0" applyAlignment="1" applyFill="1" applyFont="1">
      <alignment horizontal="center" shrinkToFit="0" wrapText="1"/>
    </xf>
    <xf borderId="0" fillId="3" fontId="6" numFmtId="0" xfId="0" applyAlignment="1" applyFill="1" applyFont="1">
      <alignment horizontal="center" readingOrder="0" shrinkToFit="0" vertical="center" wrapText="1"/>
    </xf>
    <xf borderId="0" fillId="20" fontId="9" numFmtId="0" xfId="0" applyAlignment="1" applyFill="1" applyFont="1">
      <alignment shrinkToFit="0" vertical="bottom" wrapText="1"/>
    </xf>
    <xf borderId="0" fillId="20" fontId="9" numFmtId="0" xfId="0" applyAlignment="1" applyFill="1" applyFont="1">
      <alignment shrinkToFit="0" vertical="bottom" wrapText="1"/>
    </xf>
    <xf borderId="11" fillId="12" fontId="3" numFmtId="0" xfId="0" applyAlignment="1" applyBorder="1" applyFill="1" applyFont="1">
      <alignment readingOrder="0" shrinkToFit="0" wrapText="1"/>
    </xf>
    <xf borderId="0" fillId="20" fontId="9" numFmtId="0" xfId="0" applyAlignment="1" applyFill="1" applyFont="1">
      <alignment readingOrder="0" shrinkToFit="0" vertical="bottom" wrapText="1"/>
    </xf>
    <xf borderId="0" fillId="0" fontId="13" numFmtId="0" xfId="0" applyAlignment="1" applyFont="1">
      <alignment shrinkToFit="0" wrapText="1"/>
    </xf>
    <xf borderId="0" fillId="0" fontId="3" numFmtId="0" xfId="0" applyAlignment="1" applyFont="1">
      <alignment shrinkToFit="0" wrapText="1"/>
    </xf>
    <xf borderId="0" fillId="0" fontId="3" numFmtId="166" xfId="0" applyAlignment="1" applyFont="1" applyNumberFormat="1">
      <alignment shrinkToFit="0" wrapText="1"/>
    </xf>
    <xf borderId="0" fillId="0" fontId="3" numFmtId="1" xfId="0" applyAlignment="1" applyFont="1" applyNumberFormat="1">
      <alignment shrinkToFit="0" wrapText="1"/>
    </xf>
    <xf borderId="0" fillId="16" fontId="2" numFmtId="0" xfId="0" applyAlignment="1" applyFill="1" applyFont="1">
      <alignment shrinkToFit="0" wrapText="1"/>
    </xf>
    <xf borderId="0" fillId="0" fontId="3" numFmtId="165" xfId="0" applyAlignment="1" applyFont="1" applyNumberFormat="1">
      <alignment readingOrder="0" shrinkToFit="0" wrapText="1"/>
    </xf>
    <xf borderId="0" fillId="0" fontId="3" numFmtId="0" xfId="0" applyAlignment="1" applyFont="1">
      <alignment readingOrder="0" shrinkToFit="0" wrapText="0"/>
    </xf>
    <xf borderId="0" fillId="17" fontId="2" numFmtId="0" xfId="0" applyAlignment="1" applyFill="1" applyFont="1">
      <alignment shrinkToFit="0" wrapText="1"/>
    </xf>
    <xf borderId="0" fillId="18" fontId="3" numFmtId="0" xfId="0" applyAlignment="1" applyFill="1" applyFont="1">
      <alignment horizontal="right" readingOrder="0" shrinkToFit="0" wrapText="1"/>
    </xf>
    <xf borderId="0" fillId="0" fontId="2" numFmtId="1" xfId="0" applyAlignment="1" applyFont="1" applyNumberFormat="1">
      <alignment shrinkToFit="0" wrapText="1"/>
    </xf>
    <xf borderId="0" fillId="0" fontId="3" numFmtId="165" xfId="0" applyAlignment="1" applyFont="1" applyNumberFormat="1">
      <alignment horizontal="right" readingOrder="0" shrinkToFit="0" wrapText="1"/>
    </xf>
    <xf borderId="0" fillId="12" fontId="9" numFmtId="0" xfId="0" applyAlignment="1" applyFill="1" applyFont="1">
      <alignment shrinkToFit="0" vertical="bottom" wrapText="1"/>
    </xf>
    <xf borderId="0" fillId="9" fontId="3" numFmtId="0" xfId="0" applyAlignment="1" applyFill="1" applyFont="1">
      <alignment horizontal="right" readingOrder="0" shrinkToFit="0" wrapText="1"/>
    </xf>
    <xf borderId="0" fillId="0" fontId="3" numFmtId="0" xfId="0" applyAlignment="1" applyFont="1">
      <alignment horizontal="right" readingOrder="0" shrinkToFit="0" wrapText="1"/>
    </xf>
    <xf borderId="3" fillId="22" fontId="3" numFmtId="0" xfId="0" applyAlignment="1" applyBorder="1" applyFill="1" applyFont="1">
      <alignment readingOrder="0" shrinkToFit="0" wrapText="1"/>
    </xf>
    <xf borderId="9" fillId="23" fontId="3" numFmtId="0" xfId="0" applyAlignment="1" applyBorder="1" applyFill="1" applyFont="1">
      <alignment readingOrder="0" shrinkToFit="0" wrapText="1"/>
    </xf>
    <xf borderId="0" fillId="3" fontId="6" numFmtId="0" xfId="0" applyAlignment="1" applyFill="1" applyFont="1">
      <alignment horizontal="center" readingOrder="0" shrinkToFit="0" vertical="center" wrapText="1"/>
    </xf>
    <xf borderId="0" fillId="0" fontId="2" numFmtId="1" xfId="0" applyAlignment="1" applyFont="1" applyNumberFormat="1">
      <alignment readingOrder="0" shrinkToFit="0" wrapText="1"/>
    </xf>
    <xf borderId="6" fillId="24" fontId="3" numFmtId="0" xfId="0" applyAlignment="1" applyBorder="1" applyFill="1" applyFont="1">
      <alignment readingOrder="0" shrinkToFit="0" wrapText="1"/>
    </xf>
    <xf borderId="0" fillId="25" fontId="9" numFmtId="0" xfId="0" applyAlignment="1" applyFill="1" applyFont="1">
      <alignment horizontal="center" readingOrder="0" shrinkToFit="0" vertical="center" wrapText="1"/>
    </xf>
    <xf borderId="9" fillId="26" fontId="3" numFmtId="0" xfId="0" applyAlignment="1" applyBorder="1" applyFill="1" applyFont="1">
      <alignment readingOrder="0" shrinkToFit="0" wrapText="1"/>
    </xf>
    <xf borderId="9" fillId="27" fontId="3" numFmtId="0" xfId="0" applyAlignment="1" applyBorder="1" applyFill="1" applyFont="1">
      <alignment readingOrder="0" shrinkToFit="0" wrapText="1"/>
    </xf>
    <xf borderId="0" fillId="28" fontId="3" numFmtId="0" xfId="0" applyAlignment="1" applyFill="1" applyFont="1">
      <alignment readingOrder="0" shrinkToFit="0" wrapText="1"/>
    </xf>
    <xf borderId="0" fillId="7" fontId="6" numFmtId="0" xfId="0" applyAlignment="1" applyFill="1" applyFont="1">
      <alignment horizontal="center" readingOrder="0" shrinkToFit="0" vertical="center" wrapText="1"/>
    </xf>
    <xf borderId="0" fillId="0" fontId="14" numFmtId="0" xfId="0" applyAlignment="1" applyFont="1">
      <alignment readingOrder="0" shrinkToFit="0" wrapText="1"/>
    </xf>
    <xf borderId="0" fillId="0" fontId="3" numFmtId="20" xfId="0" applyAlignment="1" applyFont="1" applyNumberFormat="1">
      <alignment readingOrder="0" shrinkToFit="0" wrapText="1"/>
    </xf>
    <xf borderId="0" fillId="0" fontId="15" numFmtId="0" xfId="0" applyAlignment="1" applyFont="1">
      <alignment shrinkToFit="0" wrapText="1"/>
    </xf>
    <xf borderId="0" fillId="7" fontId="2" numFmtId="0" xfId="0" applyAlignment="1" applyFill="1" applyFont="1">
      <alignment horizontal="center" readingOrder="0" shrinkToFit="0" vertical="center" wrapText="1"/>
    </xf>
    <xf borderId="3" fillId="0" fontId="3" numFmtId="0" xfId="0" applyAlignment="1" applyBorder="1" applyFont="1">
      <alignment readingOrder="0" shrinkToFit="0" wrapText="1"/>
    </xf>
    <xf borderId="6" fillId="0" fontId="3" numFmtId="0" xfId="0" applyAlignment="1" applyBorder="1" applyFont="1">
      <alignment shrinkToFit="0" wrapText="1"/>
    </xf>
    <xf borderId="6" fillId="0" fontId="3" numFmtId="0" xfId="0" applyAlignment="1" applyBorder="1" applyFont="1">
      <alignment readingOrder="0" shrinkToFit="0" wrapText="1"/>
    </xf>
    <xf borderId="6" fillId="12" fontId="3" numFmtId="0" xfId="0" applyAlignment="1" applyBorder="1" applyFill="1" applyFont="1">
      <alignment readingOrder="0" shrinkToFit="0" wrapText="1"/>
    </xf>
    <xf borderId="9" fillId="0" fontId="3" numFmtId="0" xfId="0" applyAlignment="1" applyBorder="1" applyFont="1">
      <alignment readingOrder="0" shrinkToFit="0" wrapText="1"/>
    </xf>
    <xf borderId="0" fillId="29" fontId="3" numFmtId="0" xfId="0" applyAlignment="1" applyFill="1" applyFont="1">
      <alignment readingOrder="0" shrinkToFit="0" wrapText="1"/>
    </xf>
    <xf borderId="0" fillId="16" fontId="3" numFmtId="0" xfId="0" applyAlignment="1" applyFill="1" applyFont="1">
      <alignment readingOrder="0" shrinkToFit="0" wrapText="1"/>
    </xf>
    <xf borderId="0" fillId="3" fontId="16" numFmtId="0" xfId="0" applyAlignment="1" applyFill="1" applyFont="1">
      <alignment horizontal="center" readingOrder="0" shrinkToFit="0" vertical="center" wrapText="1"/>
    </xf>
    <xf borderId="9" fillId="0" fontId="3" numFmtId="20" xfId="0" applyAlignment="1" applyBorder="1" applyFont="1" applyNumberFormat="1">
      <alignment readingOrder="0" shrinkToFit="0" wrapText="1"/>
    </xf>
    <xf borderId="7" fillId="30" fontId="15" numFmtId="0" xfId="0" applyAlignment="1" applyBorder="1" applyFill="1" applyFont="1">
      <alignment shrinkToFit="0" wrapText="1"/>
    </xf>
    <xf borderId="7" fillId="0" fontId="3" numFmtId="0" xfId="0" applyAlignment="1" applyBorder="1" applyFont="1">
      <alignment shrinkToFit="0" wrapText="1"/>
    </xf>
    <xf quotePrefix="1" borderId="0" fillId="0" fontId="3" numFmtId="0" xfId="0" applyAlignment="1" applyFont="1">
      <alignment readingOrder="0" shrinkToFit="0" wrapText="1"/>
    </xf>
    <xf borderId="6" fillId="31" fontId="3" numFmtId="0" xfId="0" applyAlignment="1" applyBorder="1" applyFill="1" applyFont="1">
      <alignment readingOrder="0" shrinkToFit="0" wrapText="1"/>
    </xf>
    <xf borderId="0" fillId="31" fontId="3" numFmtId="0" xfId="0" applyAlignment="1" applyFill="1" applyFont="1">
      <alignment readingOrder="0" shrinkToFit="0" wrapText="1"/>
    </xf>
    <xf borderId="0" fillId="9" fontId="17" numFmtId="0" xfId="0" applyAlignment="1" applyFill="1" applyFont="1">
      <alignment horizontal="center" readingOrder="0" shrinkToFit="0" vertical="center" wrapText="1"/>
    </xf>
    <xf borderId="0" fillId="9" fontId="9" numFmtId="0" xfId="0" applyAlignment="1" applyFill="1" applyFont="1">
      <alignment horizontal="center" readingOrder="0" shrinkToFit="0" vertical="center" wrapText="1"/>
    </xf>
    <xf borderId="10" fillId="0" fontId="3" numFmtId="0" xfId="0" applyAlignment="1" applyBorder="1" applyFont="1">
      <alignment shrinkToFit="0" wrapText="1"/>
    </xf>
    <xf borderId="0" fillId="0" fontId="18" numFmtId="0" xfId="0" applyAlignment="1" applyFont="1">
      <alignment readingOrder="0" shrinkToFit="0" wrapText="1"/>
    </xf>
    <xf borderId="13" fillId="0" fontId="19" numFmtId="0" xfId="0" applyAlignment="1" applyBorder="1" applyFont="1">
      <alignment shrinkToFit="0" vertical="bottom" wrapText="1"/>
    </xf>
    <xf borderId="13" fillId="32" fontId="20" numFmtId="0" xfId="0" applyAlignment="1" applyBorder="1" applyFill="1" applyFont="1">
      <alignment horizontal="center" shrinkToFit="0" vertical="center" wrapText="1"/>
    </xf>
    <xf borderId="13" fillId="32" fontId="7" numFmtId="0" xfId="0" applyAlignment="1" applyBorder="1" applyFill="1" applyFont="1">
      <alignment horizontal="center" shrinkToFit="0" vertical="center" wrapText="0"/>
    </xf>
    <xf borderId="0" fillId="3" fontId="2" numFmtId="0" xfId="0" applyAlignment="1" applyFill="1" applyFont="1">
      <alignment horizontal="center" readingOrder="0" shrinkToFit="0" vertical="center" wrapText="1"/>
    </xf>
    <xf borderId="11" fillId="0" fontId="7" numFmtId="49" xfId="0" applyAlignment="1" applyBorder="1" applyFont="1" applyNumberFormat="1">
      <alignment horizontal="center" readingOrder="0" shrinkToFit="0" vertical="bottom" wrapText="1"/>
    </xf>
    <xf borderId="11" fillId="33" fontId="21" numFmtId="0" xfId="0" applyAlignment="1" applyBorder="1" applyFill="1" applyFont="1">
      <alignment shrinkToFit="0" vertical="bottom" wrapText="1"/>
    </xf>
    <xf borderId="11" fillId="0" fontId="21" numFmtId="0" xfId="0" applyAlignment="1" applyBorder="1" applyFont="1">
      <alignment readingOrder="0" shrinkToFit="0" vertical="bottom" wrapText="1"/>
    </xf>
    <xf borderId="11" fillId="0" fontId="21" numFmtId="0" xfId="0" applyAlignment="1" applyBorder="1" applyFont="1">
      <alignment shrinkToFit="0" vertical="bottom" wrapText="1"/>
    </xf>
    <xf borderId="11" fillId="0" fontId="7" numFmtId="49" xfId="0" applyAlignment="1" applyBorder="1" applyFont="1" applyNumberFormat="1">
      <alignment horizontal="center" shrinkToFit="0" vertical="bottom" wrapText="1"/>
    </xf>
    <xf borderId="1" fillId="0" fontId="7" numFmtId="0" xfId="0" applyAlignment="1" applyBorder="1" applyFont="1">
      <alignment horizontal="center" shrinkToFit="0" vertical="center" wrapText="1"/>
    </xf>
    <xf borderId="11" fillId="33" fontId="7" numFmtId="0" xfId="0" applyAlignment="1" applyBorder="1" applyFill="1" applyFont="1">
      <alignment readingOrder="0" shrinkToFit="0" vertical="bottom" wrapText="1"/>
    </xf>
    <xf borderId="11" fillId="0" fontId="0" numFmtId="0" xfId="0" applyAlignment="1" applyBorder="1" applyFont="1">
      <alignment shrinkToFit="0" vertical="bottom" wrapText="1"/>
    </xf>
    <xf borderId="11" fillId="34" fontId="21" numFmtId="0" xfId="0" applyAlignment="1" applyBorder="1" applyFill="1" applyFont="1">
      <alignment shrinkToFit="0" vertical="bottom" wrapText="1"/>
    </xf>
    <xf borderId="13" fillId="0" fontId="22" numFmtId="0" xfId="0" applyAlignment="1" applyBorder="1" applyFont="1">
      <alignment shrinkToFit="0" vertical="bottom" wrapText="1"/>
    </xf>
    <xf borderId="11" fillId="34" fontId="0" numFmtId="0" xfId="0" applyAlignment="1" applyBorder="1" applyFill="1" applyFont="1">
      <alignment shrinkToFit="0" vertical="bottom" wrapText="1"/>
    </xf>
    <xf borderId="0" fillId="25" fontId="17" numFmtId="0" xfId="0" applyAlignment="1" applyFill="1" applyFont="1">
      <alignment horizontal="center" readingOrder="0" shrinkToFit="0" vertical="center" wrapText="1"/>
    </xf>
    <xf borderId="0" fillId="3" fontId="23" numFmtId="0" xfId="0" applyAlignment="1" applyFill="1" applyFont="1">
      <alignment horizontal="center" readingOrder="0" shrinkToFit="0" vertical="center" wrapText="1"/>
    </xf>
    <xf borderId="0" fillId="7" fontId="2" numFmtId="0" xfId="0" applyAlignment="1" applyFill="1" applyFont="1">
      <alignment horizontal="center" readingOrder="0" shrinkToFit="0" wrapText="1"/>
    </xf>
    <xf borderId="0" fillId="7" fontId="9" numFmtId="0" xfId="0" applyAlignment="1" applyFill="1" applyFont="1">
      <alignment horizontal="center" readingOrder="0" shrinkToFit="0" vertical="center" wrapText="1"/>
    </xf>
    <xf borderId="0" fillId="3" fontId="2" numFmtId="0" xfId="0" applyAlignment="1" applyFill="1" applyFont="1">
      <alignment horizontal="center" readingOrder="0" shrinkToFit="0" wrapText="1"/>
    </xf>
    <xf borderId="0" fillId="2" fontId="24" numFmtId="0" xfId="0" applyAlignment="1" applyFill="1" applyFont="1">
      <alignment horizontal="center" shrinkToFit="0" vertical="center" wrapText="1"/>
    </xf>
    <xf borderId="0" fillId="2" fontId="24" numFmtId="0" xfId="0" applyAlignment="1" applyFill="1" applyFont="1">
      <alignment horizontal="left" shrinkToFit="0" vertical="center" wrapText="1"/>
    </xf>
    <xf borderId="0" fillId="2" fontId="24" numFmtId="0" xfId="0" applyAlignment="1" applyFill="1" applyFont="1">
      <alignment horizontal="center" shrinkToFit="0" vertical="center" wrapText="1"/>
    </xf>
    <xf borderId="0" fillId="2" fontId="24" numFmtId="0" xfId="0" applyAlignment="1" applyFill="1" applyFont="1">
      <alignment horizontal="center" readingOrder="0" shrinkToFit="0" vertical="center" wrapText="1"/>
    </xf>
    <xf borderId="0" fillId="7" fontId="9" numFmtId="0" xfId="0" applyAlignment="1" applyFill="1" applyFont="1">
      <alignment horizontal="left" readingOrder="0" shrinkToFit="0" vertical="center" wrapText="1"/>
    </xf>
    <xf borderId="0" fillId="7" fontId="9" numFmtId="0" xfId="0" applyAlignment="1" applyFill="1" applyFont="1">
      <alignment horizontal="center" readingOrder="0" shrinkToFit="0" vertical="center" wrapText="1"/>
    </xf>
    <xf borderId="0" fillId="12" fontId="6" numFmtId="0" xfId="0" applyAlignment="1" applyFill="1" applyFont="1">
      <alignment horizontal="center" readingOrder="0" shrinkToFit="0" vertical="center" wrapText="1"/>
    </xf>
    <xf borderId="0" fillId="0" fontId="25" numFmtId="0" xfId="0" applyAlignment="1" applyFont="1">
      <alignment horizontal="left" readingOrder="0" shrinkToFit="0" vertical="bottom" wrapText="1"/>
    </xf>
    <xf borderId="0" fillId="35" fontId="3" numFmtId="0" xfId="0" applyAlignment="1" applyFill="1" applyFont="1">
      <alignment readingOrder="0" shrinkToFit="0" wrapText="1"/>
    </xf>
    <xf borderId="0" fillId="7" fontId="9" numFmtId="0" xfId="0" applyAlignment="1" applyFill="1" applyFont="1">
      <alignment horizontal="left" shrinkToFit="0" vertical="bottom" wrapText="1"/>
    </xf>
    <xf borderId="0" fillId="3" fontId="9" numFmtId="0" xfId="0" applyAlignment="1" applyFill="1" applyFont="1">
      <alignment horizontal="left" shrinkToFit="0" vertical="bottom" wrapText="1"/>
    </xf>
    <xf borderId="0" fillId="3" fontId="9" numFmtId="0" xfId="0" applyAlignment="1" applyFill="1" applyFont="1">
      <alignment horizontal="center" readingOrder="0" shrinkToFit="0" vertical="center" wrapText="1"/>
    </xf>
    <xf borderId="0" fillId="6" fontId="6" numFmtId="0" xfId="0" applyAlignment="1" applyFill="1" applyFont="1">
      <alignment horizontal="center" readingOrder="0" shrinkToFit="0" vertical="center" wrapText="1"/>
    </xf>
    <xf borderId="0" fillId="0" fontId="25" numFmtId="0" xfId="0" applyAlignment="1" applyFont="1">
      <alignment horizontal="left" readingOrder="0" shrinkToFit="0" wrapText="1"/>
    </xf>
    <xf borderId="3" fillId="0" fontId="6" numFmtId="0" xfId="0" applyAlignment="1" applyBorder="1" applyFont="1">
      <alignment horizontal="right" shrinkToFit="0" vertical="bottom" wrapText="1"/>
    </xf>
    <xf borderId="6" fillId="0" fontId="9" numFmtId="0" xfId="0" applyAlignment="1" applyBorder="1" applyFont="1">
      <alignment readingOrder="0" shrinkToFit="0" vertical="bottom" wrapText="1"/>
    </xf>
    <xf borderId="6" fillId="0" fontId="9" numFmtId="0" xfId="0" applyAlignment="1" applyBorder="1" applyFont="1">
      <alignment horizontal="right" shrinkToFit="0" vertical="bottom" wrapText="1"/>
    </xf>
    <xf borderId="6" fillId="0" fontId="9" numFmtId="0" xfId="0" applyAlignment="1" applyBorder="1" applyFont="1">
      <alignment shrinkToFit="0" vertical="bottom" wrapText="1"/>
    </xf>
    <xf borderId="8" fillId="0" fontId="9" numFmtId="0" xfId="0" applyAlignment="1" applyBorder="1" applyFont="1">
      <alignment shrinkToFit="0" vertical="bottom" wrapText="1"/>
    </xf>
    <xf borderId="13" fillId="0" fontId="25" numFmtId="0" xfId="0" applyAlignment="1" applyBorder="1" applyFont="1">
      <alignment horizontal="center" readingOrder="0" shrinkToFit="0" wrapText="1"/>
    </xf>
    <xf borderId="9" fillId="0" fontId="9" numFmtId="0" xfId="0" applyAlignment="1" applyBorder="1" applyFont="1">
      <alignment shrinkToFit="0" vertical="bottom" wrapText="1"/>
    </xf>
    <xf borderId="0" fillId="0" fontId="9" numFmtId="0" xfId="0" applyAlignment="1" applyFont="1">
      <alignment shrinkToFit="0" vertical="bottom" wrapText="1"/>
    </xf>
    <xf borderId="12" fillId="0" fontId="9" numFmtId="0" xfId="0" applyAlignment="1" applyBorder="1" applyFont="1">
      <alignment shrinkToFit="0" vertical="bottom" wrapText="1"/>
    </xf>
    <xf borderId="14" fillId="0" fontId="25" numFmtId="0" xfId="0" applyAlignment="1" applyBorder="1" applyFont="1">
      <alignment horizontal="center" readingOrder="0" shrinkToFit="0" wrapText="1"/>
    </xf>
    <xf borderId="0" fillId="0" fontId="9" numFmtId="0" xfId="0" applyAlignment="1" applyFont="1">
      <alignment horizontal="center" shrinkToFit="0" vertical="bottom" wrapText="1"/>
    </xf>
    <xf borderId="12" fillId="4" fontId="6" numFmtId="0" xfId="0" applyAlignment="1" applyBorder="1" applyFill="1" applyFont="1">
      <alignment horizontal="center" shrinkToFit="0" vertical="bottom" wrapText="1"/>
    </xf>
    <xf borderId="14" fillId="4" fontId="6" numFmtId="0" xfId="0" applyAlignment="1" applyBorder="1" applyFill="1" applyFont="1">
      <alignment horizontal="center" shrinkToFit="0" vertical="bottom" wrapText="1"/>
    </xf>
    <xf borderId="3" fillId="5" fontId="6" numFmtId="0" xfId="0" applyAlignment="1" applyBorder="1" applyFill="1" applyFont="1">
      <alignment shrinkToFit="0" vertical="bottom" wrapText="1"/>
    </xf>
    <xf borderId="0" fillId="0" fontId="9" numFmtId="167" xfId="0" applyAlignment="1" applyFont="1" applyNumberFormat="1">
      <alignment horizontal="right" shrinkToFit="0" vertical="bottom" wrapText="1"/>
    </xf>
    <xf borderId="0" fillId="0" fontId="9" numFmtId="1" xfId="0" applyAlignment="1" applyFont="1" applyNumberFormat="1">
      <alignment horizontal="right" shrinkToFit="0" vertical="bottom" wrapText="1"/>
    </xf>
    <xf borderId="12" fillId="5" fontId="9" numFmtId="0" xfId="0" applyAlignment="1" applyBorder="1" applyFill="1" applyFont="1">
      <alignment horizontal="right" readingOrder="0" shrinkToFit="0" vertical="bottom" wrapText="1"/>
    </xf>
    <xf borderId="9" fillId="5" fontId="6" numFmtId="0" xfId="0" applyAlignment="1" applyBorder="1" applyFill="1" applyFont="1">
      <alignment shrinkToFit="0" vertical="bottom" wrapText="1"/>
    </xf>
    <xf borderId="12" fillId="36" fontId="9" numFmtId="0" xfId="0" applyAlignment="1" applyBorder="1" applyFill="1" applyFont="1">
      <alignment horizontal="right" readingOrder="0" shrinkToFit="0" vertical="bottom" wrapText="1"/>
    </xf>
    <xf borderId="0" fillId="36" fontId="3" numFmtId="0" xfId="0" applyAlignment="1" applyFill="1" applyFont="1">
      <alignment shrinkToFit="0" wrapText="1"/>
    </xf>
    <xf borderId="9" fillId="5" fontId="6" numFmtId="0" xfId="0" applyAlignment="1" applyBorder="1" applyFill="1" applyFont="1">
      <alignment shrinkToFit="0" vertical="bottom" wrapText="1"/>
    </xf>
    <xf borderId="9" fillId="5" fontId="6" numFmtId="0" xfId="0" applyAlignment="1" applyBorder="1" applyFill="1" applyFont="1">
      <alignment readingOrder="0" shrinkToFit="0" vertical="bottom" wrapText="1"/>
    </xf>
    <xf borderId="0" fillId="0" fontId="9" numFmtId="0" xfId="0" applyAlignment="1" applyFont="1">
      <alignment horizontal="right" readingOrder="0" shrinkToFit="0" vertical="bottom" wrapText="1"/>
    </xf>
    <xf borderId="12" fillId="5" fontId="6" numFmtId="0" xfId="0" applyAlignment="1" applyBorder="1" applyFill="1" applyFont="1">
      <alignment shrinkToFit="0" vertical="bottom" wrapText="1"/>
    </xf>
    <xf borderId="5" fillId="0" fontId="9" numFmtId="0" xfId="0" applyAlignment="1" applyBorder="1" applyFont="1">
      <alignment shrinkToFit="0" vertical="bottom" wrapText="1"/>
    </xf>
    <xf borderId="7" fillId="0" fontId="9" numFmtId="0" xfId="0" applyAlignment="1" applyBorder="1" applyFont="1">
      <alignment horizontal="right" shrinkToFit="0" vertical="bottom" wrapText="1"/>
    </xf>
    <xf borderId="7" fillId="0" fontId="9" numFmtId="0" xfId="0" applyAlignment="1" applyBorder="1" applyFont="1">
      <alignment shrinkToFit="0" vertical="bottom" wrapText="1"/>
    </xf>
    <xf borderId="7" fillId="0" fontId="9" numFmtId="1" xfId="0" applyAlignment="1" applyBorder="1" applyFont="1" applyNumberFormat="1">
      <alignment horizontal="right" shrinkToFit="0" vertical="bottom" wrapText="1"/>
    </xf>
    <xf borderId="10" fillId="3" fontId="9" numFmtId="0" xfId="0" applyAlignment="1" applyBorder="1" applyFill="1" applyFont="1">
      <alignment horizontal="right" shrinkToFit="0" vertical="bottom" wrapText="1"/>
    </xf>
    <xf borderId="15" fillId="3" fontId="9" numFmtId="0" xfId="0" applyAlignment="1" applyBorder="1" applyFill="1" applyFont="1">
      <alignment horizontal="center" shrinkToFit="0" vertical="bottom" wrapText="1"/>
    </xf>
    <xf borderId="0" fillId="0" fontId="25" numFmtId="0" xfId="0" applyAlignment="1" applyFont="1">
      <alignment readingOrder="0" shrinkToFit="0" vertical="bottom" wrapText="1"/>
    </xf>
    <xf borderId="0" fillId="0" fontId="25" numFmtId="0" xfId="0" applyAlignment="1" applyFont="1">
      <alignment shrinkToFit="0" vertical="bottom" wrapText="1"/>
    </xf>
    <xf borderId="0" fillId="0" fontId="25" numFmtId="0" xfId="0" applyAlignment="1" applyFont="1">
      <alignment readingOrder="0" shrinkToFit="0" wrapText="1"/>
    </xf>
    <xf borderId="0" fillId="0" fontId="26" numFmtId="0" xfId="0" applyAlignment="1" applyFont="1">
      <alignment readingOrder="0" shrinkToFit="0" wrapText="1"/>
    </xf>
    <xf borderId="0" fillId="0" fontId="25" numFmtId="0" xfId="0" applyAlignment="1" applyFont="1">
      <alignment shrinkToFit="0" wrapText="1"/>
    </xf>
    <xf borderId="0" fillId="3" fontId="9" numFmtId="0" xfId="0" applyAlignment="1" applyFill="1" applyFont="1">
      <alignment horizontal="left" readingOrder="0" shrinkToFit="0" vertical="bottom" wrapText="1"/>
    </xf>
    <xf borderId="0" fillId="3" fontId="9" numFmtId="0" xfId="0" applyAlignment="1" applyFill="1" applyFont="1">
      <alignment horizontal="left" readingOrder="0" shrinkToFit="0" vertical="center" wrapText="1"/>
    </xf>
    <xf borderId="0" fillId="10" fontId="25" numFmtId="0" xfId="0" applyAlignment="1" applyFill="1" applyFont="1">
      <alignment shrinkToFit="0" vertical="bottom" wrapText="1"/>
    </xf>
    <xf borderId="0" fillId="7" fontId="3" numFmtId="0" xfId="0" applyAlignment="1" applyFill="1" applyFont="1">
      <alignment horizontal="center" readingOrder="0" shrinkToFit="0" wrapText="1"/>
    </xf>
    <xf borderId="0" fillId="3" fontId="3" numFmtId="0" xfId="0" applyAlignment="1" applyFill="1" applyFont="1">
      <alignment horizontal="center" readingOrder="0" shrinkToFit="0" wrapText="1"/>
    </xf>
    <xf borderId="0" fillId="10" fontId="3" numFmtId="0" xfId="0" applyAlignment="1" applyFill="1" applyFont="1">
      <alignment shrinkToFit="0" wrapText="1"/>
    </xf>
    <xf borderId="0" fillId="5" fontId="3" numFmtId="0" xfId="0" applyAlignment="1" applyFill="1" applyFont="1">
      <alignment readingOrder="0" shrinkToFit="0" wrapText="1"/>
    </xf>
    <xf borderId="0" fillId="10" fontId="3" numFmtId="0" xfId="0" applyAlignment="1" applyFill="1" applyFont="1">
      <alignment readingOrder="0" shrinkToFit="0" wrapText="1"/>
    </xf>
    <xf borderId="0" fillId="36" fontId="3" numFmtId="0" xfId="0" applyAlignment="1" applyFill="1" applyFont="1">
      <alignment readingOrder="0" shrinkToFit="0" wrapText="1"/>
    </xf>
    <xf borderId="0" fillId="0" fontId="27" numFmtId="0" xfId="0" applyAlignment="1" applyFont="1">
      <alignment readingOrder="0" shrinkToFit="0" wrapText="1"/>
    </xf>
    <xf borderId="0" fillId="8" fontId="9" numFmtId="0" xfId="0" applyAlignment="1" applyFill="1" applyFont="1">
      <alignment horizontal="left" shrinkToFit="0" vertical="bottom" wrapText="1"/>
    </xf>
    <xf borderId="0" fillId="8" fontId="3" numFmtId="0" xfId="0" applyAlignment="1" applyFill="1" applyFont="1">
      <alignment shrinkToFit="0" wrapText="1"/>
    </xf>
    <xf borderId="0" fillId="8" fontId="3" numFmtId="0" xfId="0" applyAlignment="1" applyFill="1" applyFont="1">
      <alignment horizontal="left" readingOrder="0" shrinkToFit="0" wrapText="1"/>
    </xf>
    <xf borderId="0" fillId="8" fontId="9" numFmtId="0" xfId="0" applyAlignment="1" applyFill="1" applyFont="1">
      <alignment horizontal="left" readingOrder="0" shrinkToFit="0" vertical="bottom" wrapText="1"/>
    </xf>
    <xf borderId="0" fillId="0" fontId="9" numFmtId="0" xfId="0" applyAlignment="1" applyFont="1">
      <alignment horizontal="left" shrinkToFit="0" vertical="bottom" wrapText="1"/>
    </xf>
    <xf borderId="0" fillId="0" fontId="28" numFmtId="0" xfId="0" applyAlignment="1" applyFont="1">
      <alignment readingOrder="0" shrinkToFit="0" wrapText="1"/>
    </xf>
    <xf borderId="0" fillId="5" fontId="24" numFmtId="0" xfId="0" applyAlignment="1" applyFill="1" applyFont="1">
      <alignment horizontal="center" readingOrder="0" shrinkToFit="0" vertical="center" wrapText="1"/>
    </xf>
    <xf borderId="0" fillId="0" fontId="24" numFmtId="0" xfId="0" applyAlignment="1" applyFont="1">
      <alignment horizontal="center" shrinkToFit="0" vertical="center" wrapText="1"/>
    </xf>
    <xf borderId="0" fillId="0" fontId="29" numFmtId="0" xfId="0" applyAlignment="1" applyFont="1">
      <alignment readingOrder="0" shrinkToFit="0" wrapText="1"/>
    </xf>
    <xf borderId="0" fillId="0" fontId="6" numFmtId="0" xfId="0" applyAlignment="1" applyFont="1">
      <alignment horizontal="center" readingOrder="0" shrinkToFit="0" vertical="center" wrapText="1"/>
    </xf>
    <xf borderId="0" fillId="0" fontId="29" numFmtId="0" xfId="0" applyAlignment="1" applyFont="1">
      <alignment readingOrder="0" shrinkToFit="0" wrapText="1"/>
    </xf>
    <xf borderId="0" fillId="0" fontId="29" numFmtId="0" xfId="0" applyAlignment="1" applyFont="1">
      <alignment shrinkToFit="0" wrapText="1"/>
    </xf>
    <xf borderId="0" fillId="0" fontId="30" numFmtId="0" xfId="0" applyAlignment="1" applyFont="1">
      <alignment readingOrder="0" shrinkToFit="0" wrapText="1"/>
    </xf>
    <xf borderId="0" fillId="13" fontId="6" numFmtId="0" xfId="0" applyAlignment="1" applyFill="1" applyFont="1">
      <alignment horizontal="center" readingOrder="0" shrinkToFit="0" vertical="center" wrapText="1"/>
    </xf>
    <xf borderId="0" fillId="0" fontId="31" numFmtId="0" xfId="0" applyAlignment="1" applyFont="1">
      <alignment readingOrder="0" shrinkToFit="0" wrapText="1"/>
    </xf>
    <xf borderId="0" fillId="0" fontId="32" numFmtId="0" xfId="0" applyAlignment="1" applyFont="1">
      <alignment readingOrder="0" shrinkToFit="0" wrapText="1"/>
    </xf>
    <xf borderId="9" fillId="0" fontId="9" numFmtId="0" xfId="0" applyAlignment="1" applyBorder="1" applyFont="1">
      <alignment shrinkToFit="0" vertical="bottom" wrapText="1"/>
    </xf>
    <xf borderId="0" fillId="0" fontId="9" numFmtId="0" xfId="0" applyAlignment="1" applyFont="1">
      <alignment horizontal="right" shrinkToFit="0" vertical="bottom" wrapText="1"/>
    </xf>
    <xf borderId="12" fillId="3" fontId="9" numFmtId="0" xfId="0" applyAlignment="1" applyBorder="1" applyFill="1" applyFont="1">
      <alignment horizontal="right" shrinkToFit="0" vertical="bottom" wrapText="1"/>
    </xf>
    <xf borderId="14" fillId="3" fontId="9" numFmtId="0" xfId="0" applyAlignment="1" applyBorder="1" applyFill="1" applyFont="1">
      <alignment horizontal="center" shrinkToFit="0" vertical="bottom" wrapText="1"/>
    </xf>
    <xf borderId="0" fillId="8" fontId="9" numFmtId="0" xfId="0" applyAlignment="1" applyFill="1" applyFont="1">
      <alignment horizontal="center" readingOrder="0" shrinkToFit="0" vertical="center" wrapText="1"/>
    </xf>
    <xf borderId="0" fillId="0" fontId="33" numFmtId="0" xfId="0" applyAlignment="1" applyFont="1">
      <alignment readingOrder="0" shrinkToFit="0" wrapText="1"/>
    </xf>
    <xf borderId="11" fillId="0" fontId="9" numFmtId="0" xfId="0" applyAlignment="1" applyBorder="1" applyFont="1">
      <alignment shrinkToFit="0" vertical="bottom" wrapText="1"/>
    </xf>
    <xf borderId="2" fillId="5" fontId="6" numFmtId="0" xfId="0" applyAlignment="1" applyBorder="1" applyFill="1" applyFont="1">
      <alignment readingOrder="0" shrinkToFit="0" vertical="bottom" wrapText="1"/>
    </xf>
    <xf borderId="14" fillId="0" fontId="9" numFmtId="0" xfId="0" applyAlignment="1" applyBorder="1" applyFont="1">
      <alignment horizontal="right" shrinkToFit="0" vertical="bottom" wrapText="1"/>
    </xf>
    <xf borderId="13" fillId="0" fontId="3" numFmtId="0" xfId="0" applyAlignment="1" applyBorder="1" applyFont="1">
      <alignment shrinkToFit="0" wrapText="1"/>
    </xf>
    <xf borderId="12" fillId="0" fontId="9" numFmtId="0" xfId="0" applyAlignment="1" applyBorder="1" applyFont="1">
      <alignment shrinkToFit="0" vertical="bottom" wrapText="1"/>
    </xf>
    <xf borderId="14" fillId="0" fontId="9" numFmtId="0" xfId="0" applyAlignment="1" applyBorder="1" applyFont="1">
      <alignment shrinkToFit="0" vertical="bottom" wrapText="1"/>
    </xf>
    <xf borderId="15" fillId="0" fontId="9" numFmtId="0" xfId="0" applyAlignment="1" applyBorder="1" applyFont="1">
      <alignment shrinkToFit="0" vertical="bottom" wrapText="1"/>
    </xf>
    <xf borderId="10" fillId="0" fontId="9" numFmtId="0" xfId="0" applyAlignment="1" applyBorder="1" applyFont="1">
      <alignment shrinkToFit="0" vertical="bottom" wrapText="1"/>
    </xf>
    <xf borderId="10" fillId="0" fontId="9" numFmtId="0" xfId="0" applyAlignment="1" applyBorder="1" applyFont="1">
      <alignment readingOrder="0" shrinkToFit="0" vertical="bottom" wrapText="1"/>
    </xf>
    <xf borderId="10" fillId="0" fontId="9" numFmtId="0" xfId="0" applyAlignment="1" applyBorder="1" applyFont="1">
      <alignment shrinkToFit="0" vertical="bottom" wrapText="1"/>
    </xf>
    <xf borderId="14" fillId="0" fontId="9" numFmtId="20" xfId="0" applyAlignment="1" applyBorder="1" applyFont="1" applyNumberFormat="1">
      <alignment horizontal="right" shrinkToFit="0" vertical="bottom" wrapText="1"/>
    </xf>
    <xf borderId="12" fillId="0" fontId="9" numFmtId="0" xfId="0" applyAlignment="1" applyBorder="1" applyFont="1">
      <alignment shrinkToFit="0" vertical="bottom" wrapText="1"/>
    </xf>
    <xf borderId="8" fillId="0" fontId="9" numFmtId="0" xfId="0" applyAlignment="1" applyBorder="1" applyFont="1">
      <alignment shrinkToFit="0" vertical="bottom" wrapText="1"/>
    </xf>
    <xf borderId="5" fillId="0" fontId="3" numFmtId="0" xfId="0" applyAlignment="1" applyBorder="1" applyFont="1">
      <alignment shrinkToFit="0" wrapText="1"/>
    </xf>
    <xf borderId="14" fillId="0" fontId="9" numFmtId="20" xfId="0" applyAlignment="1" applyBorder="1" applyFont="1" applyNumberFormat="1">
      <alignment horizontal="right" readingOrder="0" shrinkToFit="0" vertical="bottom" wrapText="1"/>
    </xf>
    <xf borderId="5" fillId="23" fontId="6" numFmtId="0" xfId="0" applyAlignment="1" applyBorder="1" applyFill="1" applyFont="1">
      <alignment horizontal="center" shrinkToFit="0" vertical="bottom" wrapText="1"/>
    </xf>
    <xf borderId="9" fillId="5" fontId="6" numFmtId="0" xfId="0" applyAlignment="1" applyBorder="1" applyFill="1" applyFont="1">
      <alignment horizontal="center" shrinkToFit="0" vertical="bottom" wrapText="1"/>
    </xf>
    <xf borderId="0" fillId="5" fontId="6" numFmtId="0" xfId="0" applyAlignment="1" applyFill="1" applyFont="1">
      <alignment horizontal="center" shrinkToFit="0" vertical="bottom" wrapText="1"/>
    </xf>
    <xf borderId="9" fillId="0" fontId="6" numFmtId="0" xfId="0" applyAlignment="1" applyBorder="1" applyFont="1">
      <alignment horizontal="right" shrinkToFit="0" vertical="bottom" wrapText="1"/>
    </xf>
    <xf borderId="0" fillId="0" fontId="9" numFmtId="0" xfId="0" applyAlignment="1" applyFont="1">
      <alignment shrinkToFit="0" vertical="bottom" wrapText="0"/>
    </xf>
    <xf borderId="0" fillId="0" fontId="6" numFmtId="0" xfId="0" applyAlignment="1" applyFont="1">
      <alignment horizontal="right" shrinkToFit="0" vertical="bottom" wrapText="1"/>
    </xf>
    <xf borderId="5" fillId="0" fontId="6" numFmtId="0" xfId="0" applyAlignment="1" applyBorder="1" applyFont="1">
      <alignment horizontal="right" shrinkToFit="0" vertical="bottom" wrapText="1"/>
    </xf>
    <xf borderId="7" fillId="0" fontId="9" numFmtId="0" xfId="0" applyAlignment="1" applyBorder="1" applyFont="1">
      <alignment shrinkToFit="0" vertical="bottom" wrapText="0"/>
    </xf>
    <xf borderId="7" fillId="0" fontId="6" numFmtId="0" xfId="0" applyAlignment="1" applyBorder="1" applyFont="1">
      <alignment horizontal="right" shrinkToFit="0" vertical="bottom" wrapText="1"/>
    </xf>
    <xf borderId="5" fillId="5" fontId="6" numFmtId="0" xfId="0" applyAlignment="1" applyBorder="1" applyFill="1" applyFont="1">
      <alignment horizontal="center" shrinkToFit="0" vertical="bottom" wrapText="1"/>
    </xf>
    <xf borderId="7" fillId="5" fontId="6" numFmtId="0" xfId="0" applyAlignment="1" applyBorder="1" applyFill="1" applyFont="1">
      <alignment horizontal="center" shrinkToFit="0" vertical="bottom" wrapText="1"/>
    </xf>
    <xf borderId="0" fillId="0" fontId="34" numFmtId="0" xfId="0" applyAlignment="1" applyFont="1">
      <alignment shrinkToFit="0" vertical="bottom" wrapText="1"/>
    </xf>
    <xf borderId="10" fillId="0" fontId="9" numFmtId="0" xfId="0" applyAlignment="1" applyBorder="1" applyFont="1">
      <alignment shrinkToFit="0" vertical="bottom" wrapText="1"/>
    </xf>
    <xf borderId="11" fillId="5" fontId="6" numFmtId="0" xfId="0" applyAlignment="1" applyBorder="1" applyFill="1" applyFont="1">
      <alignment horizontal="left" readingOrder="0" shrinkToFit="0" wrapText="1"/>
    </xf>
    <xf borderId="1" fillId="5" fontId="6" numFmtId="0" xfId="0" applyAlignment="1" applyBorder="1" applyFill="1" applyFont="1">
      <alignment horizontal="left" readingOrder="0" shrinkToFit="0" wrapText="1"/>
    </xf>
    <xf borderId="11" fillId="0" fontId="35" numFmtId="0" xfId="0" applyAlignment="1" applyBorder="1" applyFont="1">
      <alignment horizontal="left" readingOrder="0" shrinkToFit="0" vertical="center" wrapText="1"/>
    </xf>
    <xf borderId="1" fillId="0" fontId="36" numFmtId="0" xfId="0" applyAlignment="1" applyBorder="1" applyFont="1">
      <alignment horizontal="left" readingOrder="0" shrinkToFit="0" vertical="center" wrapText="1"/>
    </xf>
    <xf borderId="11" fillId="10" fontId="35" numFmtId="0" xfId="0" applyAlignment="1" applyBorder="1" applyFill="1" applyFont="1">
      <alignment horizontal="left" readingOrder="0" shrinkToFit="0" vertical="center" wrapText="1"/>
    </xf>
    <xf borderId="0" fillId="2" fontId="2" numFmtId="0" xfId="0" applyAlignment="1" applyFill="1" applyFont="1">
      <alignment horizontal="left" readingOrder="0" shrinkToFit="0" wrapText="1"/>
    </xf>
    <xf borderId="1" fillId="10" fontId="36" numFmtId="0" xfId="0" applyAlignment="1" applyBorder="1" applyFill="1" applyFont="1">
      <alignment horizontal="left" readingOrder="0" shrinkToFit="0" vertical="center" wrapText="1"/>
    </xf>
    <xf borderId="11" fillId="0" fontId="9" numFmtId="0" xfId="0" applyAlignment="1" applyBorder="1" applyFont="1">
      <alignment shrinkToFit="0" vertical="bottom" wrapText="1"/>
    </xf>
    <xf borderId="11" fillId="0" fontId="37" numFmtId="0" xfId="0" applyAlignment="1" applyBorder="1" applyFont="1">
      <alignment shrinkToFit="0" vertical="bottom" wrapText="1"/>
    </xf>
    <xf borderId="1" fillId="10" fontId="38" numFmtId="0" xfId="0" applyAlignment="1" applyBorder="1" applyFill="1" applyFont="1">
      <alignment horizontal="left" readingOrder="0" shrinkToFit="0" vertical="center" wrapText="1"/>
    </xf>
    <xf borderId="1" fillId="10" fontId="36" numFmtId="0" xfId="0" applyAlignment="1" applyBorder="1" applyFill="1" applyFont="1">
      <alignment readingOrder="0" shrinkToFit="0" vertical="center" wrapText="1"/>
    </xf>
    <xf borderId="11" fillId="0" fontId="39" numFmtId="0" xfId="0" applyAlignment="1" applyBorder="1" applyFont="1">
      <alignment shrinkToFit="0" vertical="bottom" wrapText="1"/>
    </xf>
    <xf borderId="1" fillId="10" fontId="40" numFmtId="0" xfId="0" applyAlignment="1" applyBorder="1" applyFill="1" applyFont="1">
      <alignment horizontal="left" readingOrder="0" shrinkToFit="0" vertical="center" wrapText="1"/>
    </xf>
    <xf borderId="11" fillId="0" fontId="36"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1"/>
    </xf>
    <xf borderId="11" fillId="0" fontId="3" numFmtId="0" xfId="0" applyAlignment="1" applyBorder="1" applyFont="1">
      <alignment shrinkToFit="0" wrapText="1"/>
    </xf>
    <xf borderId="0" fillId="34" fontId="3" numFmtId="0" xfId="0" applyAlignment="1" applyFill="1" applyFont="1">
      <alignment shrinkToFit="0" wrapText="1"/>
    </xf>
    <xf borderId="3" fillId="0" fontId="2" numFmtId="0" xfId="0" applyAlignment="1" applyBorder="1" applyFont="1">
      <alignment horizontal="center" readingOrder="0" shrinkToFit="0" textRotation="90" wrapText="1"/>
    </xf>
    <xf borderId="0" fillId="0" fontId="3" numFmtId="0" xfId="0" applyAlignment="1" applyFont="1">
      <alignment horizontal="center" shrinkToFit="0" wrapText="1"/>
    </xf>
    <xf borderId="0" fillId="5" fontId="2" numFmtId="0" xfId="0" applyAlignment="1" applyFill="1" applyFont="1">
      <alignment horizontal="center" readingOrder="0" shrinkToFit="0" wrapText="1"/>
    </xf>
    <xf borderId="0" fillId="34" fontId="2" numFmtId="0" xfId="0" applyAlignment="1" applyFill="1" applyFont="1">
      <alignment horizontal="center" readingOrder="0" shrinkToFit="0" wrapText="1"/>
    </xf>
    <xf borderId="0" fillId="37" fontId="2" numFmtId="0" xfId="0" applyAlignment="1" applyFill="1" applyFont="1">
      <alignment horizontal="center" readingOrder="0" shrinkToFit="0" wrapText="1"/>
    </xf>
    <xf borderId="0" fillId="38" fontId="2" numFmtId="0" xfId="0" applyAlignment="1" applyFill="1" applyFont="1">
      <alignment horizontal="center" readingOrder="0" shrinkToFit="0" wrapText="1"/>
    </xf>
    <xf borderId="13" fillId="33" fontId="2" numFmtId="0" xfId="0" applyAlignment="1" applyBorder="1" applyFill="1" applyFont="1">
      <alignment horizontal="center" readingOrder="0" shrinkToFit="0" wrapText="1"/>
    </xf>
    <xf borderId="3" fillId="33" fontId="2" numFmtId="0" xfId="0" applyAlignment="1" applyBorder="1" applyFill="1" applyFont="1">
      <alignment horizontal="center" readingOrder="0" shrinkToFit="0" wrapText="1"/>
    </xf>
    <xf borderId="13" fillId="34" fontId="2" numFmtId="0" xfId="0" applyAlignment="1" applyBorder="1" applyFill="1" applyFont="1">
      <alignment horizontal="center" readingOrder="0" shrinkToFit="0" wrapText="1"/>
    </xf>
    <xf borderId="6" fillId="33" fontId="2" numFmtId="0" xfId="0" applyAlignment="1" applyBorder="1" applyFill="1" applyFont="1">
      <alignment horizontal="center" readingOrder="0" shrinkToFit="0" wrapText="1"/>
    </xf>
    <xf borderId="8" fillId="33" fontId="2" numFmtId="0" xfId="0" applyAlignment="1" applyBorder="1" applyFill="1" applyFont="1">
      <alignment horizontal="center" readingOrder="0" shrinkToFit="0" wrapText="1"/>
    </xf>
    <xf borderId="1" fillId="33" fontId="6" numFmtId="168" xfId="0" applyAlignment="1" applyBorder="1" applyFill="1" applyFont="1" applyNumberFormat="1">
      <alignment horizontal="center" shrinkToFit="0" vertical="bottom" wrapText="1"/>
    </xf>
    <xf borderId="1" fillId="33" fontId="6" numFmtId="168" xfId="0" applyAlignment="1" applyBorder="1" applyFill="1" applyFont="1" applyNumberFormat="1">
      <alignment horizontal="center" readingOrder="0" shrinkToFit="0" vertical="bottom" wrapText="1"/>
    </xf>
    <xf borderId="11" fillId="33" fontId="6" numFmtId="0" xfId="0" applyAlignment="1" applyBorder="1" applyFill="1" applyFont="1">
      <alignment horizontal="center" readingOrder="0" shrinkToFit="0" vertical="bottom" wrapText="1"/>
    </xf>
    <xf borderId="14" fillId="0" fontId="3" numFmtId="0" xfId="0" applyAlignment="1" applyBorder="1" applyFont="1">
      <alignment readingOrder="0" shrinkToFit="0" wrapText="1"/>
    </xf>
    <xf borderId="12" fillId="0" fontId="3" numFmtId="0" xfId="0" applyAlignment="1" applyBorder="1" applyFont="1">
      <alignment readingOrder="0" shrinkToFit="0" wrapText="1"/>
    </xf>
    <xf borderId="9" fillId="33" fontId="3" numFmtId="0" xfId="0" applyAlignment="1" applyBorder="1" applyFill="1" applyFont="1">
      <alignment readingOrder="0" shrinkToFit="0" wrapText="1"/>
    </xf>
    <xf borderId="0" fillId="33" fontId="3" numFmtId="0" xfId="0" applyAlignment="1" applyFill="1" applyFont="1">
      <alignment readingOrder="0" shrinkToFit="0" wrapText="1"/>
    </xf>
    <xf borderId="12" fillId="33" fontId="3" numFmtId="0" xfId="0" applyAlignment="1" applyBorder="1" applyFill="1" applyFont="1">
      <alignment readingOrder="0" shrinkToFit="0" wrapText="1"/>
    </xf>
    <xf borderId="0" fillId="34" fontId="3" numFmtId="0" xfId="0" applyAlignment="1" applyFill="1" applyFont="1">
      <alignment readingOrder="0" shrinkToFit="0" wrapText="1"/>
    </xf>
    <xf borderId="11" fillId="33" fontId="9" numFmtId="0" xfId="0" applyAlignment="1" applyBorder="1" applyFill="1" applyFont="1">
      <alignment shrinkToFit="0" vertical="bottom" wrapText="1"/>
    </xf>
    <xf borderId="12" fillId="33" fontId="3" numFmtId="0" xfId="0" applyAlignment="1" applyBorder="1" applyFill="1" applyFont="1">
      <alignment horizontal="center" readingOrder="0" shrinkToFit="0" wrapText="1"/>
    </xf>
    <xf borderId="6" fillId="33" fontId="2" numFmtId="0" xfId="0" applyAlignment="1" applyBorder="1" applyFill="1" applyFont="1">
      <alignment readingOrder="0" shrinkToFit="0" wrapText="1"/>
    </xf>
    <xf borderId="8" fillId="33" fontId="2" numFmtId="0" xfId="0" applyAlignment="1" applyBorder="1" applyFill="1" applyFont="1">
      <alignment readingOrder="0" shrinkToFit="0" wrapText="1"/>
    </xf>
    <xf borderId="14" fillId="33" fontId="2" numFmtId="0" xfId="0" applyAlignment="1" applyBorder="1" applyFill="1" applyFont="1">
      <alignment readingOrder="0" shrinkToFit="0" wrapText="1"/>
    </xf>
    <xf borderId="9" fillId="33" fontId="2" numFmtId="169" xfId="0" applyAlignment="1" applyBorder="1" applyFill="1" applyFont="1" applyNumberFormat="1">
      <alignment horizontal="center" readingOrder="0" shrinkToFit="0" textRotation="90" wrapText="1"/>
    </xf>
    <xf borderId="9" fillId="13" fontId="2" numFmtId="169" xfId="0" applyAlignment="1" applyBorder="1" applyFill="1" applyFont="1" applyNumberFormat="1">
      <alignment horizontal="center" readingOrder="0" shrinkToFit="0" textRotation="90" wrapText="1"/>
    </xf>
    <xf borderId="9" fillId="34" fontId="2" numFmtId="169" xfId="0" applyAlignment="1" applyBorder="1" applyFill="1" applyFont="1" applyNumberFormat="1">
      <alignment horizontal="center" readingOrder="0" shrinkToFit="0" textRotation="90" wrapText="1"/>
    </xf>
    <xf borderId="13" fillId="33" fontId="2" numFmtId="169" xfId="0" applyAlignment="1" applyBorder="1" applyFill="1" applyFont="1" applyNumberFormat="1">
      <alignment horizontal="center" readingOrder="0" shrinkToFit="0" textRotation="90" wrapText="1"/>
    </xf>
    <xf borderId="9" fillId="0" fontId="2" numFmtId="170" xfId="0" applyAlignment="1" applyBorder="1" applyFont="1" applyNumberFormat="1">
      <alignment horizontal="center" readingOrder="0" shrinkToFit="0" textRotation="90" wrapText="1"/>
    </xf>
    <xf borderId="13" fillId="33" fontId="6" numFmtId="0" xfId="0" applyAlignment="1" applyBorder="1" applyFill="1" applyFont="1">
      <alignment horizontal="center" readingOrder="0" shrinkToFit="0" textRotation="90" vertical="center" wrapText="1"/>
    </xf>
    <xf borderId="13" fillId="33" fontId="6" numFmtId="170" xfId="0" applyAlignment="1" applyBorder="1" applyFill="1" applyFont="1" applyNumberFormat="1">
      <alignment horizontal="center" shrinkToFit="0" textRotation="90" vertical="center" wrapText="1"/>
    </xf>
    <xf borderId="12" fillId="33" fontId="2" numFmtId="169" xfId="0" applyAlignment="1" applyBorder="1" applyFill="1" applyFont="1" applyNumberFormat="1">
      <alignment horizontal="center" readingOrder="0" shrinkToFit="0" wrapText="1"/>
    </xf>
    <xf borderId="3" fillId="0" fontId="6" numFmtId="0" xfId="0" applyAlignment="1" applyBorder="1" applyFont="1">
      <alignment horizontal="center" readingOrder="0" shrinkToFit="0" vertical="center" wrapText="1"/>
    </xf>
    <xf borderId="6" fillId="0" fontId="6" numFmtId="0" xfId="0" applyAlignment="1" applyBorder="1" applyFont="1">
      <alignment horizontal="left" readingOrder="0" shrinkToFit="0" vertical="center" wrapText="1"/>
    </xf>
    <xf borderId="6" fillId="0" fontId="9" numFmtId="0" xfId="0" applyAlignment="1" applyBorder="1" applyFont="1">
      <alignment horizontal="center" readingOrder="0" shrinkToFit="0" vertical="center" wrapText="1"/>
    </xf>
    <xf borderId="6" fillId="3" fontId="9" numFmtId="0" xfId="0" applyAlignment="1" applyBorder="1" applyFill="1" applyFont="1">
      <alignment horizontal="center" readingOrder="0" shrinkToFit="0" vertical="center" wrapText="1"/>
    </xf>
    <xf borderId="6" fillId="6" fontId="9" numFmtId="0" xfId="0" applyAlignment="1" applyBorder="1" applyFill="1" applyFont="1">
      <alignment horizontal="center" readingOrder="0" shrinkToFit="0" vertical="center" wrapText="1"/>
    </xf>
    <xf borderId="6" fillId="0" fontId="2" numFmtId="9" xfId="0" applyAlignment="1" applyBorder="1" applyFont="1" applyNumberFormat="1">
      <alignment readingOrder="0" shrinkToFit="0" wrapText="1"/>
    </xf>
    <xf borderId="8" fillId="0" fontId="2" numFmtId="1" xfId="0" applyAlignment="1" applyBorder="1" applyFont="1" applyNumberFormat="1">
      <alignment readingOrder="0" shrinkToFit="0" wrapText="1"/>
    </xf>
    <xf borderId="6" fillId="39" fontId="3" numFmtId="0" xfId="0" applyAlignment="1" applyBorder="1" applyFill="1" applyFont="1">
      <alignment readingOrder="0" shrinkToFit="0" wrapText="1"/>
    </xf>
    <xf borderId="6" fillId="0" fontId="9" numFmtId="0" xfId="0" applyAlignment="1" applyBorder="1" applyFont="1">
      <alignment shrinkToFit="0" wrapText="1"/>
    </xf>
    <xf borderId="6" fillId="13" fontId="6" numFmtId="0" xfId="0" applyAlignment="1" applyBorder="1" applyFill="1" applyFont="1">
      <alignment horizontal="left" readingOrder="0" shrinkToFit="0" vertical="center" wrapText="1"/>
    </xf>
    <xf borderId="6" fillId="34" fontId="6" numFmtId="0" xfId="0" applyAlignment="1" applyBorder="1" applyFill="1" applyFont="1">
      <alignment horizontal="left" readingOrder="0" shrinkToFit="0" vertical="center" wrapText="1"/>
    </xf>
    <xf borderId="6" fillId="0" fontId="9" numFmtId="0" xfId="0" applyAlignment="1" applyBorder="1" applyFont="1">
      <alignment horizontal="right" shrinkToFit="0" vertical="bottom" wrapText="1"/>
    </xf>
    <xf borderId="6" fillId="0" fontId="9" numFmtId="0" xfId="0" applyAlignment="1" applyBorder="1" applyFont="1">
      <alignment shrinkToFit="0" vertical="bottom" wrapText="1"/>
    </xf>
    <xf borderId="6" fillId="0" fontId="9" numFmtId="20" xfId="0" applyAlignment="1" applyBorder="1" applyFont="1" applyNumberFormat="1">
      <alignment horizontal="right" readingOrder="0" shrinkToFit="0" vertical="bottom" wrapText="1"/>
    </xf>
    <xf borderId="6" fillId="0" fontId="9" numFmtId="20" xfId="0" applyAlignment="1" applyBorder="1" applyFont="1" applyNumberFormat="1">
      <alignment horizontal="right" shrinkToFit="0" vertical="bottom" wrapText="1"/>
    </xf>
    <xf borderId="6" fillId="0" fontId="6" numFmtId="0" xfId="0" applyAlignment="1" applyBorder="1" applyFont="1">
      <alignment readingOrder="0" shrinkToFit="0" vertical="bottom" wrapText="1"/>
    </xf>
    <xf borderId="8" fillId="0" fontId="3" numFmtId="0" xfId="0" applyAlignment="1" applyBorder="1" applyFont="1">
      <alignment horizontal="center" readingOrder="0" shrinkToFit="0" wrapText="1"/>
    </xf>
    <xf borderId="9"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0" fontId="2" numFmtId="9" xfId="0" applyAlignment="1" applyFont="1" applyNumberFormat="1">
      <alignment readingOrder="0" shrinkToFit="0" wrapText="1"/>
    </xf>
    <xf borderId="12" fillId="0" fontId="2" numFmtId="0" xfId="0" applyAlignment="1" applyBorder="1" applyFont="1">
      <alignment readingOrder="0" shrinkToFit="0" wrapText="1"/>
    </xf>
    <xf borderId="0" fillId="39" fontId="3" numFmtId="0" xfId="0" applyAlignment="1" applyFill="1" applyFont="1">
      <alignment readingOrder="0" shrinkToFit="0" wrapText="1"/>
    </xf>
    <xf borderId="0" fillId="0" fontId="9" numFmtId="0" xfId="0" applyAlignment="1" applyFont="1">
      <alignment shrinkToFit="0" wrapText="1"/>
    </xf>
    <xf borderId="0" fillId="13" fontId="6" numFmtId="0" xfId="0" applyAlignment="1" applyFill="1" applyFont="1">
      <alignment horizontal="left" readingOrder="0" shrinkToFit="0" vertical="center" wrapText="1"/>
    </xf>
    <xf borderId="0" fillId="34" fontId="6" numFmtId="0" xfId="0" applyAlignment="1" applyFill="1" applyFont="1">
      <alignment horizontal="left" readingOrder="0" shrinkToFit="0" vertical="center" wrapText="1"/>
    </xf>
    <xf borderId="0" fillId="0" fontId="9" numFmtId="0" xfId="0" applyAlignment="1" applyFont="1">
      <alignment horizontal="right" shrinkToFit="0" vertical="bottom" wrapText="1"/>
    </xf>
    <xf borderId="0" fillId="0" fontId="9" numFmtId="20" xfId="0" applyAlignment="1" applyFont="1" applyNumberFormat="1">
      <alignment horizontal="right" readingOrder="0" shrinkToFit="0" vertical="bottom" wrapText="1"/>
    </xf>
    <xf borderId="0" fillId="0" fontId="9" numFmtId="20" xfId="0" applyAlignment="1" applyFont="1" applyNumberFormat="1">
      <alignment horizontal="right" shrinkToFit="0" vertical="bottom" wrapText="1"/>
    </xf>
    <xf borderId="0" fillId="0" fontId="9" numFmtId="20" xfId="0" applyAlignment="1" applyFont="1" applyNumberFormat="1">
      <alignment shrinkToFit="0" vertical="bottom" wrapText="1"/>
    </xf>
    <xf borderId="12" fillId="0" fontId="3" numFmtId="0" xfId="0" applyAlignment="1" applyBorder="1" applyFont="1">
      <alignment horizontal="center" readingOrder="0" shrinkToFit="0" wrapText="1"/>
    </xf>
    <xf borderId="9" fillId="33" fontId="2" numFmtId="0" xfId="0" applyAlignment="1" applyBorder="1" applyFill="1" applyFont="1">
      <alignment horizontal="center" readingOrder="0" shrinkToFit="0" vertical="center" wrapText="1"/>
    </xf>
    <xf borderId="0" fillId="33" fontId="2" numFmtId="0" xfId="0" applyAlignment="1" applyFill="1" applyFont="1">
      <alignment horizontal="left" readingOrder="0" shrinkToFit="0" vertical="center" wrapText="1"/>
    </xf>
    <xf borderId="0" fillId="33" fontId="9" numFmtId="0" xfId="0" applyAlignment="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0" fillId="33" fontId="2" numFmtId="9" xfId="0" applyAlignment="1" applyFill="1" applyFont="1" applyNumberFormat="1">
      <alignment readingOrder="0" shrinkToFit="0" wrapText="1"/>
    </xf>
    <xf borderId="12" fillId="33" fontId="2" numFmtId="0" xfId="0" applyAlignment="1" applyBorder="1" applyFill="1" applyFont="1">
      <alignment readingOrder="0" shrinkToFit="0" wrapText="1"/>
    </xf>
    <xf borderId="0" fillId="33" fontId="9" numFmtId="0" xfId="0" applyAlignment="1" applyFill="1" applyFont="1">
      <alignment shrinkToFit="0" wrapText="1"/>
    </xf>
    <xf borderId="11" fillId="0" fontId="2" numFmtId="0" xfId="0" applyAlignment="1" applyBorder="1" applyFont="1">
      <alignment readingOrder="0" shrinkToFit="0" wrapText="1"/>
    </xf>
    <xf borderId="0" fillId="13" fontId="2" numFmtId="0" xfId="0" applyAlignment="1" applyFill="1" applyFont="1">
      <alignment horizontal="left" readingOrder="0" shrinkToFit="0" vertical="center" wrapText="1"/>
    </xf>
    <xf borderId="11" fillId="0" fontId="2" numFmtId="0" xfId="0" applyAlignment="1" applyBorder="1" applyFont="1">
      <alignment shrinkToFit="0" wrapText="1"/>
    </xf>
    <xf borderId="0" fillId="34" fontId="2" numFmtId="0" xfId="0" applyAlignment="1" applyFill="1" applyFont="1">
      <alignment horizontal="left" readingOrder="0" shrinkToFit="0" vertical="center" wrapText="1"/>
    </xf>
    <xf borderId="0" fillId="33" fontId="3" numFmtId="0" xfId="0" applyAlignment="1" applyFill="1" applyFont="1">
      <alignment shrinkToFit="0" wrapText="1"/>
    </xf>
    <xf borderId="0" fillId="33" fontId="9" numFmtId="0" xfId="0" applyAlignment="1" applyFill="1" applyFont="1">
      <alignment horizontal="right" shrinkToFit="0" vertical="bottom" wrapText="1"/>
    </xf>
    <xf borderId="0" fillId="33" fontId="9" numFmtId="0" xfId="0" applyAlignment="1" applyFill="1" applyFont="1">
      <alignment shrinkToFit="0" vertical="bottom" wrapText="1"/>
    </xf>
    <xf borderId="0" fillId="33" fontId="9" numFmtId="20" xfId="0" applyAlignment="1" applyFill="1" applyFont="1" applyNumberFormat="1">
      <alignment horizontal="right" readingOrder="0" shrinkToFit="0" vertical="bottom" wrapText="1"/>
    </xf>
    <xf borderId="0" fillId="33" fontId="9" numFmtId="20" xfId="0" applyAlignment="1" applyFill="1" applyFont="1" applyNumberFormat="1">
      <alignment horizontal="right" shrinkToFit="0" vertical="bottom" wrapText="1"/>
    </xf>
    <xf borderId="1" fillId="0" fontId="2" numFmtId="0" xfId="0" applyAlignment="1" applyBorder="1" applyFont="1">
      <alignment readingOrder="0" shrinkToFit="0" wrapText="1"/>
    </xf>
    <xf borderId="0" fillId="33" fontId="6" numFmtId="0" xfId="0" applyAlignment="1" applyFill="1" applyFont="1">
      <alignment readingOrder="0" shrinkToFit="0" vertical="bottom" wrapText="1"/>
    </xf>
    <xf borderId="3" fillId="5" fontId="6" numFmtId="0" xfId="0" applyAlignment="1" applyBorder="1" applyFill="1" applyFont="1">
      <alignment horizontal="center" readingOrder="0" shrinkToFit="0" vertical="center" wrapText="1"/>
    </xf>
    <xf borderId="0" fillId="3" fontId="2" numFmtId="0" xfId="0" applyAlignment="1" applyFill="1" applyFont="1">
      <alignment readingOrder="0" shrinkToFit="0" wrapText="1"/>
    </xf>
    <xf borderId="0" fillId="33" fontId="9" numFmtId="20" xfId="0" applyAlignment="1" applyFill="1" applyFont="1" applyNumberFormat="1">
      <alignment shrinkToFit="0" vertical="bottom" wrapText="1"/>
    </xf>
    <xf borderId="0" fillId="20" fontId="2" numFmtId="0" xfId="0" applyAlignment="1" applyFill="1" applyFont="1">
      <alignment readingOrder="0" shrinkToFit="0" wrapText="1"/>
    </xf>
    <xf borderId="6" fillId="5" fontId="6" numFmtId="0" xfId="0" applyAlignment="1" applyBorder="1" applyFill="1" applyFont="1">
      <alignment horizontal="center" readingOrder="0" shrinkToFit="0" vertical="center" wrapText="1"/>
    </xf>
    <xf borderId="0" fillId="33" fontId="9" numFmtId="0" xfId="0" applyAlignment="1" applyFill="1" applyFont="1">
      <alignment horizontal="right" shrinkToFit="0" vertical="bottom" wrapText="1"/>
    </xf>
    <xf borderId="0" fillId="33" fontId="9" numFmtId="0" xfId="0" applyAlignment="1" applyFill="1" applyFont="1">
      <alignment shrinkToFit="0" vertical="bottom" wrapText="1"/>
    </xf>
    <xf borderId="9" fillId="0" fontId="16"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0" fillId="3" fontId="3" numFmtId="169" xfId="0" applyAlignment="1" applyFill="1" applyFont="1" applyNumberFormat="1">
      <alignment shrinkToFit="0" wrapText="1"/>
    </xf>
    <xf borderId="0" fillId="3" fontId="3" numFmtId="0" xfId="0" applyAlignment="1" applyFill="1" applyFont="1">
      <alignment shrinkToFit="0" wrapText="1"/>
    </xf>
    <xf borderId="0" fillId="0" fontId="6" numFmtId="0" xfId="0" applyAlignment="1" applyFont="1">
      <alignment readingOrder="0" shrinkToFit="0" vertical="bottom" wrapText="1"/>
    </xf>
    <xf borderId="12" fillId="0" fontId="2" numFmtId="1" xfId="0" applyAlignment="1" applyBorder="1" applyFont="1" applyNumberFormat="1">
      <alignment readingOrder="0" shrinkToFit="0" wrapText="1"/>
    </xf>
    <xf borderId="0" fillId="5" fontId="6" numFmtId="0" xfId="0" applyAlignment="1" applyFill="1" applyFont="1">
      <alignment horizontal="center" readingOrder="0" shrinkToFit="0" vertical="center" wrapText="1"/>
    </xf>
    <xf borderId="0" fillId="0" fontId="2" numFmtId="0" xfId="0" applyAlignment="1" applyFont="1">
      <alignment horizontal="left" readingOrder="0" shrinkToFit="0" vertical="center" wrapText="1"/>
    </xf>
    <xf borderId="0" fillId="0" fontId="9" numFmtId="0" xfId="0" applyAlignment="1" applyFont="1">
      <alignment readingOrder="0" shrinkToFit="0" vertical="bottom" wrapText="1"/>
    </xf>
    <xf borderId="0" fillId="33" fontId="3" numFmtId="0" xfId="0" applyAlignment="1" applyFill="1" applyFont="1">
      <alignment horizontal="center" readingOrder="0" shrinkToFit="0" vertical="center" wrapText="1"/>
    </xf>
    <xf borderId="0" fillId="39" fontId="17" numFmtId="0" xfId="0" applyAlignment="1" applyFill="1" applyFont="1">
      <alignment horizontal="center" readingOrder="0" shrinkToFit="0" vertical="center" wrapText="1"/>
    </xf>
    <xf borderId="0" fillId="3" fontId="3" numFmtId="169" xfId="0" applyAlignment="1" applyFill="1" applyFont="1" applyNumberFormat="1">
      <alignment readingOrder="0" shrinkToFit="0" wrapText="1"/>
    </xf>
    <xf borderId="0" fillId="7" fontId="3" numFmtId="169" xfId="0" applyAlignment="1" applyFill="1" applyFont="1" applyNumberFormat="1">
      <alignment shrinkToFit="0" wrapText="1"/>
    </xf>
    <xf borderId="0" fillId="33" fontId="9" numFmtId="0" xfId="0" applyAlignment="1" applyFill="1" applyFont="1">
      <alignment readingOrder="0" shrinkToFit="0" vertical="bottom" wrapText="1"/>
    </xf>
    <xf borderId="3" fillId="19" fontId="6" numFmtId="0" xfId="0" applyAlignment="1" applyBorder="1" applyFill="1" applyFont="1">
      <alignment horizontal="center" readingOrder="0" shrinkToFit="0" vertical="center" wrapText="1"/>
    </xf>
    <xf borderId="0" fillId="5" fontId="3" numFmtId="169" xfId="0" applyAlignment="1" applyFill="1" applyFont="1" applyNumberFormat="1">
      <alignment readingOrder="0" shrinkToFit="0" wrapText="1"/>
    </xf>
    <xf borderId="0" fillId="5" fontId="3" numFmtId="0" xfId="0" applyAlignment="1" applyFill="1" applyFont="1">
      <alignment shrinkToFit="0" wrapText="1"/>
    </xf>
    <xf borderId="5" fillId="33" fontId="2" numFmtId="0" xfId="0" applyAlignment="1" applyBorder="1" applyFill="1" applyFont="1">
      <alignment horizontal="center" readingOrder="0" shrinkToFit="0" vertical="center" wrapText="1"/>
    </xf>
    <xf borderId="7" fillId="33" fontId="2" numFmtId="0" xfId="0" applyAlignment="1" applyBorder="1" applyFill="1" applyFont="1">
      <alignment horizontal="left" readingOrder="0" shrinkToFit="0" vertical="center" wrapText="1"/>
    </xf>
    <xf borderId="7" fillId="33" fontId="3" numFmtId="0" xfId="0" applyAlignment="1" applyBorder="1" applyFill="1" applyFont="1">
      <alignment horizontal="center" readingOrder="0" shrinkToFit="0" vertical="center" wrapText="1"/>
    </xf>
    <xf borderId="7" fillId="39" fontId="17" numFmtId="0" xfId="0" applyAlignment="1" applyBorder="1" applyFill="1" applyFont="1">
      <alignment horizontal="center" readingOrder="0" shrinkToFit="0" vertical="center" wrapText="1"/>
    </xf>
    <xf borderId="7" fillId="6" fontId="9" numFmtId="0" xfId="0" applyAlignment="1" applyBorder="1" applyFill="1" applyFont="1">
      <alignment horizontal="center" readingOrder="0" shrinkToFit="0" vertical="center" wrapText="1"/>
    </xf>
    <xf borderId="7" fillId="33" fontId="2" numFmtId="9" xfId="0" applyAlignment="1" applyBorder="1" applyFill="1" applyFont="1" applyNumberFormat="1">
      <alignment readingOrder="0" shrinkToFit="0" wrapText="1"/>
    </xf>
    <xf borderId="6" fillId="19" fontId="6" numFmtId="0" xfId="0" applyAlignment="1" applyBorder="1" applyFill="1" applyFont="1">
      <alignment horizontal="center" readingOrder="0" shrinkToFit="0" vertical="center" wrapText="1"/>
    </xf>
    <xf borderId="10" fillId="33" fontId="2" numFmtId="0" xfId="0" applyAlignment="1" applyBorder="1" applyFill="1" applyFont="1">
      <alignment readingOrder="0" shrinkToFit="0" wrapText="1"/>
    </xf>
    <xf borderId="0" fillId="36" fontId="3" numFmtId="169" xfId="0" applyAlignment="1" applyFill="1" applyFont="1" applyNumberFormat="1">
      <alignment readingOrder="0" shrinkToFit="0" wrapText="1"/>
    </xf>
    <xf borderId="0" fillId="36" fontId="3" numFmtId="169" xfId="0" applyAlignment="1" applyFill="1" applyFont="1" applyNumberFormat="1">
      <alignment shrinkToFit="0" wrapText="1"/>
    </xf>
    <xf borderId="12" fillId="33" fontId="9" numFmtId="0" xfId="0" applyAlignment="1" applyBorder="1" applyFill="1" applyFont="1">
      <alignment horizontal="center" shrinkToFit="0" wrapText="1"/>
    </xf>
    <xf borderId="6" fillId="0" fontId="2" numFmtId="0" xfId="0" applyAlignment="1" applyBorder="1" applyFont="1">
      <alignment horizontal="left" readingOrder="0" shrinkToFit="0" vertical="center" wrapText="1"/>
    </xf>
    <xf borderId="6" fillId="0" fontId="17" numFmtId="0" xfId="0" applyAlignment="1" applyBorder="1" applyFont="1">
      <alignment horizontal="center" readingOrder="0" shrinkToFit="0" vertical="center" wrapText="1"/>
    </xf>
    <xf borderId="6" fillId="36" fontId="17" numFmtId="0" xfId="0" applyAlignment="1" applyBorder="1" applyFill="1" applyFont="1">
      <alignment horizontal="center" readingOrder="0" shrinkToFit="0" vertical="center" wrapText="1"/>
    </xf>
    <xf borderId="6" fillId="9" fontId="9" numFmtId="0" xfId="0" applyAlignment="1" applyBorder="1" applyFill="1" applyFont="1">
      <alignment horizontal="center" readingOrder="0" shrinkToFit="0" vertical="center" wrapText="1"/>
    </xf>
    <xf borderId="8" fillId="0" fontId="2" numFmtId="0" xfId="0" applyAlignment="1" applyBorder="1" applyFont="1">
      <alignment readingOrder="0" shrinkToFit="0" wrapText="1"/>
    </xf>
    <xf borderId="6" fillId="13" fontId="2" numFmtId="0" xfId="0" applyAlignment="1" applyBorder="1" applyFill="1" applyFont="1">
      <alignment horizontal="left" readingOrder="0" shrinkToFit="0" vertical="center" wrapText="1"/>
    </xf>
    <xf borderId="0" fillId="19" fontId="6" numFmtId="0" xfId="0" applyAlignment="1" applyFill="1" applyFont="1">
      <alignment horizontal="center" readingOrder="0" shrinkToFit="0" vertical="center" wrapText="1"/>
    </xf>
    <xf borderId="6" fillId="34" fontId="2" numFmtId="0" xfId="0" applyAlignment="1" applyBorder="1" applyFill="1" applyFont="1">
      <alignment horizontal="left" readingOrder="0" shrinkToFit="0" vertical="center" wrapText="1"/>
    </xf>
    <xf borderId="0" fillId="36" fontId="17" numFmtId="0" xfId="0" applyAlignment="1" applyFill="1" applyFont="1">
      <alignment horizontal="center" readingOrder="0" shrinkToFit="0" vertical="center" wrapText="1"/>
    </xf>
    <xf borderId="0" fillId="22" fontId="3" numFmtId="0" xfId="0" applyAlignment="1" applyFill="1" applyFont="1">
      <alignment readingOrder="0" shrinkToFit="0" wrapText="1"/>
    </xf>
    <xf borderId="0" fillId="22" fontId="3" numFmtId="169" xfId="0" applyAlignment="1" applyFill="1" applyFont="1" applyNumberFormat="1">
      <alignment shrinkToFit="0" wrapText="1"/>
    </xf>
    <xf borderId="0" fillId="22" fontId="3" numFmtId="0" xfId="0" applyAlignment="1" applyFill="1" applyFont="1">
      <alignment shrinkToFit="0" wrapText="1"/>
    </xf>
    <xf borderId="12" fillId="0" fontId="9" numFmtId="0" xfId="0" applyAlignment="1" applyBorder="1" applyFont="1">
      <alignment horizontal="center" shrinkToFit="0" wrapText="1"/>
    </xf>
    <xf borderId="9" fillId="33" fontId="6" numFmtId="0" xfId="0" applyAlignment="1" applyBorder="1" applyFill="1" applyFont="1">
      <alignment horizontal="center" readingOrder="0" shrinkToFit="0" vertical="center" wrapText="1"/>
    </xf>
    <xf borderId="0" fillId="20" fontId="3" numFmtId="169" xfId="0" applyAlignment="1" applyFill="1" applyFont="1" applyNumberFormat="1">
      <alignment shrinkToFit="0" wrapText="1"/>
    </xf>
    <xf borderId="0" fillId="33" fontId="17" numFmtId="0" xfId="0" applyAlignment="1" applyFill="1" applyFont="1">
      <alignment horizontal="center" readingOrder="0" shrinkToFit="0" vertical="center" wrapText="1"/>
    </xf>
    <xf borderId="0" fillId="20" fontId="3" numFmtId="0" xfId="0" applyAlignment="1" applyFill="1" applyFont="1">
      <alignment shrinkToFit="0" wrapText="1"/>
    </xf>
    <xf borderId="0" fillId="3" fontId="17" numFmtId="0" xfId="0" applyAlignment="1" applyFill="1" applyFont="1">
      <alignment horizontal="center" readingOrder="0" shrinkToFit="0" vertical="center" wrapText="1"/>
    </xf>
    <xf borderId="0" fillId="29" fontId="17" numFmtId="0" xfId="0" applyAlignment="1" applyFill="1" applyFont="1">
      <alignment horizontal="center" readingOrder="0" shrinkToFit="0" vertical="center" wrapText="1"/>
    </xf>
    <xf borderId="9" fillId="0" fontId="2"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15" fontId="17" numFmtId="0" xfId="0" applyAlignment="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7" fillId="0" fontId="2" numFmtId="0" xfId="0" applyAlignment="1" applyBorder="1" applyFont="1">
      <alignment horizontal="left" readingOrder="0" shrinkToFit="0" vertical="center" wrapText="1"/>
    </xf>
    <xf borderId="7" fillId="0" fontId="3" numFmtId="0" xfId="0" applyAlignment="1" applyBorder="1" applyFont="1">
      <alignment horizontal="center" readingOrder="0" shrinkToFit="0" vertical="center" wrapText="1"/>
    </xf>
    <xf borderId="7" fillId="3" fontId="17" numFmtId="0" xfId="0" applyAlignment="1" applyBorder="1" applyFill="1" applyFont="1">
      <alignment horizontal="center" readingOrder="0" shrinkToFit="0" vertical="center" wrapText="1"/>
    </xf>
    <xf borderId="7" fillId="9" fontId="9" numFmtId="0" xfId="0" applyAlignment="1" applyBorder="1" applyFill="1" applyFont="1">
      <alignment horizontal="center" readingOrder="0" shrinkToFit="0" vertical="center" wrapText="1"/>
    </xf>
    <xf borderId="7" fillId="0" fontId="2" numFmtId="9" xfId="0" applyAlignment="1" applyBorder="1" applyFont="1" applyNumberFormat="1">
      <alignment readingOrder="0" shrinkToFit="0" wrapText="1"/>
    </xf>
    <xf borderId="10" fillId="0" fontId="2" numFmtId="0" xfId="0" applyAlignment="1" applyBorder="1" applyFont="1">
      <alignment readingOrder="0" shrinkToFit="0" wrapText="1"/>
    </xf>
    <xf borderId="7" fillId="39" fontId="3" numFmtId="0" xfId="0" applyAlignment="1" applyBorder="1" applyFill="1" applyFont="1">
      <alignment readingOrder="0" shrinkToFit="0" wrapText="1"/>
    </xf>
    <xf borderId="7" fillId="0" fontId="9" numFmtId="0" xfId="0" applyAlignment="1" applyBorder="1" applyFont="1">
      <alignment shrinkToFit="0" wrapText="1"/>
    </xf>
    <xf borderId="7" fillId="13" fontId="2" numFmtId="0" xfId="0" applyAlignment="1" applyBorder="1" applyFill="1" applyFont="1">
      <alignment horizontal="left" readingOrder="0" shrinkToFit="0" vertical="center" wrapText="1"/>
    </xf>
    <xf borderId="7" fillId="34" fontId="2" numFmtId="0" xfId="0" applyAlignment="1" applyBorder="1" applyFill="1" applyFont="1">
      <alignment horizontal="left" readingOrder="0" shrinkToFit="0" vertical="center" wrapText="1"/>
    </xf>
    <xf borderId="7" fillId="0" fontId="9" numFmtId="0" xfId="0" applyAlignment="1" applyBorder="1" applyFont="1">
      <alignment horizontal="right" shrinkToFit="0" vertical="bottom" wrapText="1"/>
    </xf>
    <xf borderId="7" fillId="0" fontId="9" numFmtId="20" xfId="0" applyAlignment="1" applyBorder="1" applyFont="1" applyNumberFormat="1">
      <alignment horizontal="right" readingOrder="0" shrinkToFit="0" vertical="bottom" wrapText="1"/>
    </xf>
    <xf borderId="7" fillId="0" fontId="9" numFmtId="20" xfId="0" applyAlignment="1" applyBorder="1" applyFont="1" applyNumberFormat="1">
      <alignment horizontal="right" shrinkToFit="0" vertical="bottom" wrapText="1"/>
    </xf>
    <xf borderId="7" fillId="0" fontId="9" numFmtId="20" xfId="0" applyAlignment="1" applyBorder="1" applyFont="1" applyNumberFormat="1">
      <alignment shrinkToFit="0" vertical="bottom" wrapText="1"/>
    </xf>
    <xf borderId="10" fillId="0" fontId="3" numFmtId="0" xfId="0" applyAlignment="1" applyBorder="1" applyFont="1">
      <alignment horizontal="center" readingOrder="0" shrinkToFit="0" wrapText="1"/>
    </xf>
    <xf borderId="9" fillId="33" fontId="6" numFmtId="0" xfId="0" applyAlignment="1" applyBorder="1" applyFill="1" applyFont="1">
      <alignment horizontal="center" readingOrder="0" shrinkToFit="0" vertical="center" wrapText="1"/>
    </xf>
    <xf borderId="0" fillId="33" fontId="6" numFmtId="0" xfId="0" applyAlignment="1" applyFill="1" applyFont="1">
      <alignment horizontal="left" shrinkToFit="0" vertical="center" wrapText="1"/>
    </xf>
    <xf borderId="0" fillId="27" fontId="9" numFmtId="0" xfId="0" applyAlignment="1" applyFill="1" applyFont="1">
      <alignment horizontal="center" readingOrder="0" shrinkToFit="0" vertical="center" wrapText="1"/>
    </xf>
    <xf borderId="0" fillId="40" fontId="9" numFmtId="0" xfId="0" applyAlignment="1" applyFill="1" applyFont="1">
      <alignment horizontal="center" readingOrder="0" shrinkToFit="0" vertical="center" wrapText="1"/>
    </xf>
    <xf borderId="0" fillId="33" fontId="6" numFmtId="0" xfId="0" applyAlignment="1" applyFill="1" applyFont="1">
      <alignment horizontal="left" readingOrder="0" shrinkToFit="0" vertical="center" wrapText="1"/>
    </xf>
    <xf borderId="0" fillId="13" fontId="6" numFmtId="0" xfId="0" applyAlignment="1" applyFill="1" applyFont="1">
      <alignment horizontal="left" readingOrder="0" shrinkToFit="0" vertical="center" wrapText="1"/>
    </xf>
    <xf borderId="0" fillId="34" fontId="6" numFmtId="0" xfId="0" applyAlignment="1" applyFill="1" applyFont="1">
      <alignment horizontal="left" shrinkToFit="0" vertical="center" wrapText="1"/>
    </xf>
    <xf borderId="0" fillId="33" fontId="9" numFmtId="0" xfId="0" applyAlignment="1" applyFill="1" applyFont="1">
      <alignment shrinkToFit="0" wrapText="1"/>
    </xf>
    <xf borderId="0" fillId="33" fontId="9" numFmtId="0" xfId="0" applyAlignment="1" applyFill="1" applyFont="1">
      <alignment horizontal="right" readingOrder="0" shrinkToFit="0" vertical="bottom" wrapText="1"/>
    </xf>
    <xf borderId="9" fillId="0" fontId="6" numFmtId="0" xfId="0" applyAlignment="1" applyBorder="1" applyFont="1">
      <alignment horizontal="center" readingOrder="0" shrinkToFit="0" vertical="center" wrapText="1"/>
    </xf>
    <xf borderId="0" fillId="0" fontId="6" numFmtId="0" xfId="0" applyAlignment="1" applyFont="1">
      <alignment horizontal="left" shrinkToFit="0" vertical="center" wrapText="1"/>
    </xf>
    <xf borderId="0" fillId="0" fontId="9" numFmtId="0" xfId="0" applyAlignment="1" applyFont="1">
      <alignment horizontal="center" readingOrder="0" shrinkToFit="0" vertical="center" wrapText="1"/>
    </xf>
    <xf borderId="0" fillId="39" fontId="9" numFmtId="0" xfId="0" applyAlignment="1" applyFill="1" applyFont="1">
      <alignment horizontal="center" readingOrder="0" shrinkToFit="0" vertical="center" wrapText="1"/>
    </xf>
    <xf borderId="0" fillId="0" fontId="6" numFmtId="0" xfId="0" applyAlignment="1" applyFont="1">
      <alignment horizontal="left" readingOrder="0" shrinkToFit="0" vertical="center" wrapText="1"/>
    </xf>
    <xf borderId="0" fillId="0" fontId="9" numFmtId="0" xfId="0" applyAlignment="1" applyFont="1">
      <alignment shrinkToFit="0" wrapText="1"/>
    </xf>
    <xf borderId="0" fillId="0" fontId="9" numFmtId="0" xfId="0" applyAlignment="1" applyFont="1">
      <alignment horizontal="right" readingOrder="0" shrinkToFit="0" vertical="bottom" wrapText="1"/>
    </xf>
    <xf borderId="0" fillId="33" fontId="9" numFmtId="0" xfId="0" applyAlignment="1" applyFill="1" applyFont="1">
      <alignment horizontal="center" readingOrder="0" shrinkToFit="0" vertical="center" wrapText="1"/>
    </xf>
    <xf borderId="0" fillId="18" fontId="9" numFmtId="0" xfId="0" applyAlignment="1" applyFill="1" applyFont="1">
      <alignment horizontal="center" readingOrder="0" shrinkToFit="0" vertical="center" wrapText="1"/>
    </xf>
    <xf borderId="0" fillId="33" fontId="2" numFmtId="171" xfId="0" applyAlignment="1" applyFill="1" applyFont="1" applyNumberFormat="1">
      <alignment readingOrder="0" shrinkToFit="0" wrapText="1"/>
    </xf>
    <xf borderId="0" fillId="34" fontId="6" numFmtId="0" xfId="0" applyAlignment="1" applyFill="1" applyFont="1">
      <alignment horizontal="left" readingOrder="0" shrinkToFit="0" vertical="center" wrapText="1"/>
    </xf>
    <xf borderId="0" fillId="39" fontId="3" numFmtId="0" xfId="0" applyAlignment="1" applyFill="1" applyFont="1">
      <alignment shrinkToFit="0" wrapText="1"/>
    </xf>
    <xf borderId="0" fillId="33" fontId="3" numFmtId="0" xfId="0" applyAlignment="1" applyFill="1" applyFont="1">
      <alignment shrinkToFit="0" wrapText="1"/>
    </xf>
    <xf borderId="0" fillId="33" fontId="3" numFmtId="20" xfId="0" applyAlignment="1" applyFill="1" applyFont="1" applyNumberFormat="1">
      <alignment shrinkToFit="0" wrapText="1"/>
    </xf>
    <xf borderId="0" fillId="33" fontId="6" numFmtId="0" xfId="0" applyAlignment="1" applyFill="1" applyFont="1">
      <alignment horizontal="left" readingOrder="0" shrinkToFit="0" vertical="center" wrapText="1"/>
    </xf>
    <xf borderId="0" fillId="27" fontId="17" numFmtId="0" xfId="0" applyAlignment="1" applyFill="1" applyFont="1">
      <alignment horizontal="center" readingOrder="0" shrinkToFit="0" vertical="center" wrapText="1"/>
    </xf>
    <xf borderId="7" fillId="27" fontId="9" numFmtId="0" xfId="0" applyAlignment="1" applyBorder="1" applyFill="1" applyFont="1">
      <alignment horizontal="center" readingOrder="0" shrinkToFit="0" vertical="center" wrapText="1"/>
    </xf>
    <xf borderId="7" fillId="40" fontId="9" numFmtId="0" xfId="0" applyAlignment="1" applyBorder="1" applyFill="1" applyFont="1">
      <alignment horizontal="center" readingOrder="0" shrinkToFit="0" vertical="center" wrapText="1"/>
    </xf>
    <xf borderId="7" fillId="39" fontId="3" numFmtId="0" xfId="0" applyAlignment="1" applyBorder="1" applyFill="1" applyFont="1">
      <alignment shrinkToFit="0" wrapText="1"/>
    </xf>
    <xf borderId="7" fillId="0" fontId="9" numFmtId="0" xfId="0" applyAlignment="1" applyBorder="1" applyFont="1">
      <alignment shrinkToFit="0" wrapText="1"/>
    </xf>
    <xf borderId="0" fillId="23" fontId="2" numFmtId="0" xfId="0" applyAlignment="1" applyFill="1" applyFont="1">
      <alignment readingOrder="0" shrinkToFit="0" wrapText="1"/>
    </xf>
    <xf borderId="0" fillId="0" fontId="6" numFmtId="0" xfId="0" applyAlignment="1" applyFont="1">
      <alignment horizontal="center" readingOrder="0" shrinkToFit="0" vertical="center" wrapText="1"/>
    </xf>
  </cellXfs>
  <cellStyles count="1">
    <cellStyle xfId="0" name="Normal" builtinId="0"/>
  </cellStyles>
  <dxfs count="2">
    <dxf>
      <font>
        <color rgb="FFEF4540"/>
      </font>
      <fill>
        <patternFill patternType="none"/>
      </fill>
      <border/>
    </dxf>
    <dxf>
      <font>
        <color rgb="FFFF99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9963150" cy="11363325"/>
    <xdr:pic>
      <xdr:nvPicPr>
        <xdr:cNvPr id="0" name="image1.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www.myelevatorpitch.es/videos-del-curso/video-1.html" TargetMode="External"/><Relationship Id="rId10" Type="http://schemas.openxmlformats.org/officeDocument/2006/relationships/hyperlink" Target="https://www.slideshare.net/jordipuigdellivol/elevator-pitch-8033336" TargetMode="External"/><Relationship Id="rId13" Type="http://schemas.openxmlformats.org/officeDocument/2006/relationships/hyperlink" Target="https://www.socialmediaycontenidos.com/que-es-pecha-kucha-el-metodo-infalible-para-presentaciones-eficaces/" TargetMode="External"/><Relationship Id="rId12" Type="http://schemas.openxmlformats.org/officeDocument/2006/relationships/hyperlink" Target="https://prezi.com/cchk1p7xhs_2/como-presentar-un-elevator-pitch/" TargetMode="External"/><Relationship Id="rId1" Type="http://schemas.openxmlformats.org/officeDocument/2006/relationships/hyperlink" Target="https://docs.google.com/document/d/1xAeB1yeXMUAWvmYFU2Mi_8Du_9ju_sLUHI085oX0rkI/edit" TargetMode="External"/><Relationship Id="rId2" Type="http://schemas.openxmlformats.org/officeDocument/2006/relationships/hyperlink" Target="https://prezi.com/yb2uleyhubl7/scrum-en-5-minutos/" TargetMode="External"/><Relationship Id="rId3" Type="http://schemas.openxmlformats.org/officeDocument/2006/relationships/hyperlink" Target="https://www.youtube.com/watch?v=PlLHc60egiQ" TargetMode="External"/><Relationship Id="rId4" Type="http://schemas.openxmlformats.org/officeDocument/2006/relationships/hyperlink" Target="https://www.youtube.com/watch?v=qRx8BkjY8lY&amp;list=PLCdd5nLIOVnZKY4afaLSXwmTOBkdwOGzo" TargetMode="External"/><Relationship Id="rId9" Type="http://schemas.openxmlformats.org/officeDocument/2006/relationships/hyperlink" Target="https://www.youtube.com/watch?v=554Fwv7jQMI" TargetMode="External"/><Relationship Id="rId15" Type="http://schemas.openxmlformats.org/officeDocument/2006/relationships/hyperlink" Target="https://apps.nulab.com/signin" TargetMode="External"/><Relationship Id="rId14" Type="http://schemas.openxmlformats.org/officeDocument/2006/relationships/hyperlink" Target="http://draw.io/" TargetMode="External"/><Relationship Id="rId16" Type="http://schemas.openxmlformats.org/officeDocument/2006/relationships/drawing" Target="../drawings/drawing7.xml"/><Relationship Id="rId5" Type="http://schemas.openxmlformats.org/officeDocument/2006/relationships/hyperlink" Target="https://www.youtube.com/watch?v=oyVksFviJVE" TargetMode="External"/><Relationship Id="rId6" Type="http://schemas.openxmlformats.org/officeDocument/2006/relationships/hyperlink" Target="https://www.youtube.com/watch?v=o0Xo-BbgIL8" TargetMode="External"/><Relationship Id="rId7" Type="http://schemas.openxmlformats.org/officeDocument/2006/relationships/hyperlink" Target="https://planningpokeronline.com/" TargetMode="External"/><Relationship Id="rId8" Type="http://schemas.openxmlformats.org/officeDocument/2006/relationships/hyperlink" Target="https://www.youtube.com/watch?v=2b3xG_YjgvI"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igestoriaonline.e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developer.wordpress.org/advanced-administration/upgrade/migrating/" TargetMode="External"/><Relationship Id="rId11" Type="http://schemas.openxmlformats.org/officeDocument/2006/relationships/hyperlink" Target="https://medium.com/cloud-security/disable-ipv6-on-pfsense-e9e80fa656fb" TargetMode="External"/><Relationship Id="rId10" Type="http://schemas.openxmlformats.org/officeDocument/2006/relationships/hyperlink" Target="https://nagios-plugins.org/doc/man/check_dhcp.html" TargetMode="External"/><Relationship Id="rId21" Type="http://schemas.openxmlformats.org/officeDocument/2006/relationships/drawing" Target="../drawings/drawing12.xml"/><Relationship Id="rId13" Type="http://schemas.openxmlformats.org/officeDocument/2006/relationships/hyperlink" Target="https://gitlab.com/pautome/m11-asix-pub/-/blob/master/UF2-seguretat-activa/DIAPOS/03.NAS-VPN/NAS-VPN.md" TargetMode="External"/><Relationship Id="rId12" Type="http://schemas.openxmlformats.org/officeDocument/2006/relationships/hyperlink" Target="https://docs.netgate.com/pfsense/en/latest/packages/cache-proxy/squidguard.html" TargetMode="External"/><Relationship Id="rId1" Type="http://schemas.openxmlformats.org/officeDocument/2006/relationships/hyperlink" Target="https://alternativeto.net/category/networking-and-admin/remote-desktop-access/?license=opensource" TargetMode="External"/><Relationship Id="rId2" Type="http://schemas.openxmlformats.org/officeDocument/2006/relationships/hyperlink" Target="https://rdr-it.com/es/autoridad-de-certificacion-autonoma-de-windows-server-instalacion-y-configuracion/" TargetMode="External"/><Relationship Id="rId3" Type="http://schemas.openxmlformats.org/officeDocument/2006/relationships/hyperlink" Target="https://buananetpbun.github.io/" TargetMode="External"/><Relationship Id="rId4" Type="http://schemas.openxmlformats.org/officeDocument/2006/relationships/hyperlink" Target="https://wiki.mikrotik.com/wiki/Manual:Reset" TargetMode="External"/><Relationship Id="rId9" Type="http://schemas.openxmlformats.org/officeDocument/2006/relationships/hyperlink" Target="https://help.mikrotik.com/docs/display/ROS/WinBox" TargetMode="External"/><Relationship Id="rId15" Type="http://schemas.openxmlformats.org/officeDocument/2006/relationships/hyperlink" Target="https://techexpert.tips/pfsense/pfsense-ldap-authentication-active-directory/" TargetMode="External"/><Relationship Id="rId14" Type="http://schemas.openxmlformats.org/officeDocument/2006/relationships/hyperlink" Target="https://docs.netgate.com/pfsense/en/latest/troubleshooting/filesystem-check.html" TargetMode="External"/><Relationship Id="rId17" Type="http://schemas.openxmlformats.org/officeDocument/2006/relationships/hyperlink" Target="https://www.incibe.es/protege-tu-empresa/herramientas" TargetMode="External"/><Relationship Id="rId16" Type="http://schemas.openxmlformats.org/officeDocument/2006/relationships/hyperlink" Target="https://www.incibe.es/protege-tu-empresa/que-te-interesa/plan-contingencia-continuidad-negocio" TargetMode="External"/><Relationship Id="rId5" Type="http://schemas.openxmlformats.org/officeDocument/2006/relationships/hyperlink" Target="https://forum.mikrotik.com/viewtopic.php?t=196477" TargetMode="External"/><Relationship Id="rId19" Type="http://schemas.openxmlformats.org/officeDocument/2006/relationships/hyperlink" Target="https://www.server-world.info/" TargetMode="External"/><Relationship Id="rId6" Type="http://schemas.openxmlformats.org/officeDocument/2006/relationships/hyperlink" Target="https://help.mikrotik.com/docs/display/ROS/Bridging+and+Switching" TargetMode="External"/><Relationship Id="rId18" Type="http://schemas.openxmlformats.org/officeDocument/2006/relationships/hyperlink" Target="https://www.incibe.es/protege-tu-empresa/que-te-interesa" TargetMode="External"/><Relationship Id="rId7" Type="http://schemas.openxmlformats.org/officeDocument/2006/relationships/hyperlink" Target="https://help.mikrotik.com/docs/display/ROS/Firewall+and+Quality+of+Service" TargetMode="External"/><Relationship Id="rId8" Type="http://schemas.openxmlformats.org/officeDocument/2006/relationships/hyperlink" Target="https://help.mikrotik.com/docs/display/ROS/Wireless"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3"/>
    <col customWidth="1" min="2" max="2" width="5.75"/>
    <col customWidth="1" min="3" max="3" width="9.13"/>
    <col customWidth="1" min="4" max="4" width="6.88"/>
    <col customWidth="1" min="5" max="5" width="23.63"/>
    <col customWidth="1" min="6" max="6" width="6.88"/>
    <col customWidth="1" min="7" max="7" width="7.25"/>
    <col customWidth="1" min="8" max="8" width="10.75"/>
    <col customWidth="1" min="11" max="11" width="23.5"/>
    <col customWidth="1" min="13" max="35" width="3.13"/>
  </cols>
  <sheetData>
    <row r="1">
      <c r="A1" s="1"/>
      <c r="B1" s="2" t="s">
        <v>0</v>
      </c>
      <c r="C1" s="3"/>
      <c r="D1" s="3"/>
      <c r="E1" s="3"/>
      <c r="F1" s="3"/>
      <c r="G1" s="3"/>
      <c r="H1" s="3"/>
      <c r="I1" s="3"/>
      <c r="J1" s="3"/>
      <c r="K1" s="5"/>
    </row>
    <row r="2">
      <c r="B2" s="7" t="s">
        <v>2</v>
      </c>
      <c r="C2" s="10" t="s">
        <v>3</v>
      </c>
      <c r="D2" s="10" t="s">
        <v>4</v>
      </c>
      <c r="E2" s="10" t="s">
        <v>5</v>
      </c>
      <c r="F2" s="12" t="s">
        <v>6</v>
      </c>
      <c r="G2" s="10" t="s">
        <v>7</v>
      </c>
      <c r="H2" s="10" t="s">
        <v>8</v>
      </c>
      <c r="I2" s="16"/>
      <c r="J2" s="16"/>
      <c r="K2" s="19"/>
      <c r="M2" s="20" t="s">
        <v>12</v>
      </c>
      <c r="T2" s="23"/>
      <c r="U2" s="20" t="s">
        <v>16</v>
      </c>
      <c r="AB2" s="23"/>
      <c r="AC2" s="20" t="s">
        <v>19</v>
      </c>
    </row>
    <row r="3">
      <c r="A3" s="26"/>
      <c r="B3" s="27">
        <v>1.0</v>
      </c>
      <c r="C3" s="28">
        <v>45733.0</v>
      </c>
      <c r="D3" s="28">
        <v>45744.0</v>
      </c>
      <c r="E3" s="30" t="s">
        <v>24</v>
      </c>
      <c r="F3" s="34" t="s">
        <v>26</v>
      </c>
      <c r="G3" s="38" t="s">
        <v>29</v>
      </c>
      <c r="H3" s="30" t="s">
        <v>31</v>
      </c>
      <c r="K3" s="22"/>
      <c r="M3" s="42" t="s">
        <v>34</v>
      </c>
      <c r="N3" s="42" t="s">
        <v>38</v>
      </c>
      <c r="O3" s="42" t="s">
        <v>39</v>
      </c>
      <c r="P3" s="42" t="s">
        <v>40</v>
      </c>
      <c r="Q3" s="42" t="s">
        <v>41</v>
      </c>
      <c r="R3" s="42" t="s">
        <v>42</v>
      </c>
      <c r="S3" s="42" t="s">
        <v>43</v>
      </c>
      <c r="T3" s="30"/>
      <c r="U3" s="42" t="s">
        <v>34</v>
      </c>
      <c r="V3" s="42" t="s">
        <v>38</v>
      </c>
      <c r="W3" s="42" t="s">
        <v>39</v>
      </c>
      <c r="X3" s="42" t="s">
        <v>40</v>
      </c>
      <c r="Y3" s="42" t="s">
        <v>41</v>
      </c>
      <c r="Z3" s="42" t="s">
        <v>42</v>
      </c>
      <c r="AA3" s="42" t="s">
        <v>43</v>
      </c>
      <c r="AB3" s="30"/>
      <c r="AC3" s="42" t="s">
        <v>34</v>
      </c>
      <c r="AD3" s="42" t="s">
        <v>38</v>
      </c>
      <c r="AE3" s="42" t="s">
        <v>39</v>
      </c>
      <c r="AF3" s="42" t="s">
        <v>40</v>
      </c>
      <c r="AG3" s="42" t="s">
        <v>41</v>
      </c>
      <c r="AH3" s="42" t="s">
        <v>42</v>
      </c>
      <c r="AI3" s="42" t="s">
        <v>43</v>
      </c>
    </row>
    <row r="4">
      <c r="A4" s="30"/>
      <c r="B4" s="46"/>
      <c r="C4" s="30"/>
      <c r="D4" s="30"/>
      <c r="E4" s="30" t="s">
        <v>50</v>
      </c>
      <c r="F4" s="47"/>
      <c r="G4" s="47"/>
      <c r="H4" s="49" t="s">
        <v>53</v>
      </c>
      <c r="K4" s="22"/>
      <c r="M4" s="50"/>
      <c r="N4" s="50"/>
      <c r="O4" s="50"/>
      <c r="P4" s="50"/>
      <c r="Q4" s="50"/>
      <c r="R4" s="51">
        <v>1.0</v>
      </c>
      <c r="S4" s="51">
        <v>2.0</v>
      </c>
      <c r="T4" s="50"/>
      <c r="U4" s="50"/>
      <c r="V4" s="52">
        <v>1.0</v>
      </c>
      <c r="W4" s="52">
        <v>2.0</v>
      </c>
      <c r="X4" s="52">
        <v>3.0</v>
      </c>
      <c r="Y4" s="52">
        <v>4.0</v>
      </c>
      <c r="Z4" s="51">
        <v>5.0</v>
      </c>
      <c r="AA4" s="51">
        <v>6.0</v>
      </c>
      <c r="AB4" s="50"/>
      <c r="AC4" s="50"/>
      <c r="AD4" s="50"/>
      <c r="AE4" s="50"/>
      <c r="AF4" s="51">
        <v>1.0</v>
      </c>
      <c r="AG4" s="51">
        <v>2.0</v>
      </c>
      <c r="AH4" s="51">
        <v>3.0</v>
      </c>
      <c r="AI4" s="51">
        <v>4.0</v>
      </c>
    </row>
    <row r="5">
      <c r="A5" s="30"/>
      <c r="B5" s="46"/>
      <c r="C5" s="30"/>
      <c r="D5" s="30"/>
      <c r="F5" s="47"/>
      <c r="G5" s="47"/>
      <c r="H5" s="56" t="s">
        <v>65</v>
      </c>
      <c r="K5" s="22"/>
      <c r="M5" s="58">
        <v>3.0</v>
      </c>
      <c r="N5" s="60">
        <v>4.0</v>
      </c>
      <c r="O5" s="60">
        <v>5.0</v>
      </c>
      <c r="P5" s="60">
        <v>6.0</v>
      </c>
      <c r="Q5" s="60">
        <v>7.0</v>
      </c>
      <c r="R5" s="51">
        <v>8.0</v>
      </c>
      <c r="S5" s="51">
        <v>9.0</v>
      </c>
      <c r="T5" s="62"/>
      <c r="U5" s="52">
        <v>7.0</v>
      </c>
      <c r="V5" s="52">
        <v>8.0</v>
      </c>
      <c r="W5" s="52">
        <v>9.0</v>
      </c>
      <c r="X5" s="52">
        <v>10.0</v>
      </c>
      <c r="Y5" s="52">
        <v>11.0</v>
      </c>
      <c r="Z5" s="51">
        <v>12.0</v>
      </c>
      <c r="AA5" s="51">
        <v>13.0</v>
      </c>
      <c r="AB5" s="62"/>
      <c r="AC5" s="65">
        <v>5.0</v>
      </c>
      <c r="AD5" s="65">
        <v>6.0</v>
      </c>
      <c r="AE5" s="65">
        <v>7.0</v>
      </c>
      <c r="AF5" s="65">
        <v>8.0</v>
      </c>
      <c r="AG5" s="65">
        <v>9.0</v>
      </c>
      <c r="AH5" s="51">
        <v>10.0</v>
      </c>
      <c r="AI5" s="51">
        <v>11.0</v>
      </c>
    </row>
    <row r="6">
      <c r="A6" s="30"/>
      <c r="B6" s="69"/>
      <c r="C6" s="71">
        <v>2.0</v>
      </c>
      <c r="D6" s="73"/>
      <c r="E6" s="73"/>
      <c r="F6" s="76"/>
      <c r="G6" s="76"/>
      <c r="H6" s="73" t="s">
        <v>78</v>
      </c>
      <c r="I6" s="16"/>
      <c r="J6" s="16"/>
      <c r="K6" s="19"/>
      <c r="M6" s="60">
        <v>10.0</v>
      </c>
      <c r="N6" s="60">
        <v>11.0</v>
      </c>
      <c r="O6" s="60">
        <v>12.0</v>
      </c>
      <c r="P6" s="60">
        <v>13.0</v>
      </c>
      <c r="Q6" s="60">
        <v>14.0</v>
      </c>
      <c r="R6" s="51">
        <v>15.0</v>
      </c>
      <c r="S6" s="51">
        <v>16.0</v>
      </c>
      <c r="T6" s="78"/>
      <c r="U6" s="51">
        <v>14.0</v>
      </c>
      <c r="V6" s="51">
        <v>15.0</v>
      </c>
      <c r="W6" s="51">
        <v>16.0</v>
      </c>
      <c r="X6" s="51">
        <v>17.0</v>
      </c>
      <c r="Y6" s="51">
        <v>18.0</v>
      </c>
      <c r="Z6" s="51">
        <v>19.0</v>
      </c>
      <c r="AA6" s="51">
        <v>20.0</v>
      </c>
      <c r="AB6" s="62"/>
      <c r="AC6" s="65">
        <v>12.0</v>
      </c>
      <c r="AD6" s="65">
        <v>13.0</v>
      </c>
      <c r="AE6" s="65">
        <v>14.0</v>
      </c>
      <c r="AF6" s="65">
        <v>15.0</v>
      </c>
      <c r="AG6" s="65">
        <v>16.0</v>
      </c>
      <c r="AH6" s="51">
        <v>17.0</v>
      </c>
      <c r="AI6" s="51">
        <v>18.0</v>
      </c>
    </row>
    <row r="7">
      <c r="A7" s="26"/>
      <c r="B7" s="52">
        <v>2.0</v>
      </c>
      <c r="C7" s="28">
        <v>45747.0</v>
      </c>
      <c r="D7" s="28">
        <v>45758.0</v>
      </c>
      <c r="E7" s="56" t="s">
        <v>83</v>
      </c>
      <c r="F7" s="34" t="s">
        <v>85</v>
      </c>
      <c r="G7" s="81"/>
      <c r="H7" s="30" t="s">
        <v>77</v>
      </c>
      <c r="K7" s="22"/>
      <c r="M7" s="82">
        <v>17.0</v>
      </c>
      <c r="N7" s="82">
        <v>18.0</v>
      </c>
      <c r="O7" s="82">
        <v>19.0</v>
      </c>
      <c r="P7" s="82">
        <v>20.0</v>
      </c>
      <c r="Q7" s="82">
        <v>21.0</v>
      </c>
      <c r="R7" s="51">
        <v>22.0</v>
      </c>
      <c r="S7" s="51">
        <v>23.0</v>
      </c>
      <c r="T7" s="62"/>
      <c r="U7" s="51">
        <v>21.0</v>
      </c>
      <c r="V7" s="85">
        <v>22.0</v>
      </c>
      <c r="W7" s="85">
        <v>23.0</v>
      </c>
      <c r="X7" s="85">
        <v>24.0</v>
      </c>
      <c r="Y7" s="85">
        <v>25.0</v>
      </c>
      <c r="Z7" s="51">
        <v>26.0</v>
      </c>
      <c r="AA7" s="51">
        <v>27.0</v>
      </c>
      <c r="AB7" s="62"/>
      <c r="AC7" s="86">
        <v>19.0</v>
      </c>
      <c r="AD7" s="88">
        <v>20.0</v>
      </c>
      <c r="AE7" s="58">
        <v>21.0</v>
      </c>
      <c r="AF7" s="89">
        <v>22.0</v>
      </c>
      <c r="AG7" s="91">
        <v>23.0</v>
      </c>
      <c r="AH7" s="51">
        <v>24.0</v>
      </c>
      <c r="AI7" s="51">
        <v>25.0</v>
      </c>
    </row>
    <row r="8">
      <c r="A8" s="30"/>
      <c r="B8" s="46"/>
      <c r="C8" s="30"/>
      <c r="D8" s="30"/>
      <c r="E8" s="30" t="s">
        <v>82</v>
      </c>
      <c r="F8" s="47"/>
      <c r="G8" s="47"/>
      <c r="H8" s="30" t="s">
        <v>108</v>
      </c>
      <c r="K8" s="22"/>
      <c r="M8" s="82">
        <v>24.0</v>
      </c>
      <c r="N8" s="82">
        <v>25.0</v>
      </c>
      <c r="O8" s="82">
        <v>26.0</v>
      </c>
      <c r="P8" s="82">
        <v>27.0</v>
      </c>
      <c r="Q8" s="82">
        <v>28.0</v>
      </c>
      <c r="R8" s="51">
        <v>29.0</v>
      </c>
      <c r="S8" s="51">
        <v>30.0</v>
      </c>
      <c r="T8" s="62"/>
      <c r="U8" s="85">
        <v>28.0</v>
      </c>
      <c r="V8" s="85">
        <v>29.0</v>
      </c>
      <c r="W8" s="85">
        <v>30.0</v>
      </c>
      <c r="X8" s="30"/>
      <c r="Y8" s="30"/>
      <c r="Z8" s="93"/>
      <c r="AA8" s="93"/>
      <c r="AB8" s="78"/>
      <c r="AC8" s="91">
        <v>26.0</v>
      </c>
      <c r="AD8" s="91">
        <v>27.0</v>
      </c>
      <c r="AE8" s="60">
        <v>28.0</v>
      </c>
      <c r="AF8" s="60">
        <v>29.0</v>
      </c>
      <c r="AG8" s="58">
        <v>30.0</v>
      </c>
      <c r="AH8" s="51">
        <v>31.0</v>
      </c>
      <c r="AI8" s="93"/>
    </row>
    <row r="9">
      <c r="A9" s="30"/>
      <c r="B9" s="46"/>
      <c r="C9" s="30"/>
      <c r="D9" s="30"/>
      <c r="E9" s="56" t="s">
        <v>116</v>
      </c>
      <c r="F9" s="47"/>
      <c r="G9" s="47"/>
      <c r="H9" s="56" t="s">
        <v>117</v>
      </c>
      <c r="K9" s="22"/>
      <c r="M9" s="52">
        <v>31.0</v>
      </c>
      <c r="N9" s="30"/>
      <c r="O9" s="30"/>
      <c r="P9" s="50"/>
      <c r="Q9" s="50"/>
      <c r="R9" s="50"/>
      <c r="S9" s="50"/>
      <c r="T9" s="50"/>
      <c r="U9" s="50"/>
      <c r="V9" s="50"/>
      <c r="W9" s="50"/>
      <c r="X9" s="50"/>
      <c r="Y9" s="50"/>
      <c r="Z9" s="50"/>
      <c r="AA9" s="50"/>
      <c r="AB9" s="78"/>
      <c r="AC9" s="50"/>
      <c r="AD9" s="50"/>
      <c r="AE9" s="50"/>
      <c r="AF9" s="50"/>
      <c r="AG9" s="50"/>
      <c r="AH9" s="50"/>
      <c r="AI9" s="50"/>
    </row>
    <row r="10">
      <c r="A10" s="30"/>
      <c r="B10" s="46"/>
      <c r="C10" s="30"/>
      <c r="D10" s="30"/>
      <c r="E10" s="56"/>
      <c r="F10" s="47"/>
      <c r="G10" s="47"/>
      <c r="K10" s="22"/>
    </row>
    <row r="11">
      <c r="A11" s="30"/>
      <c r="B11" s="69"/>
      <c r="C11" s="71">
        <v>2.0</v>
      </c>
      <c r="D11" s="73"/>
      <c r="E11" s="73"/>
      <c r="F11" s="76"/>
      <c r="G11" s="76"/>
      <c r="H11" s="71" t="s">
        <v>121</v>
      </c>
      <c r="I11" s="16"/>
      <c r="J11" s="16"/>
      <c r="K11" s="19"/>
    </row>
    <row r="12">
      <c r="A12" s="26"/>
      <c r="B12" s="85">
        <v>3.0</v>
      </c>
      <c r="C12" s="28">
        <v>45769.0</v>
      </c>
      <c r="D12" s="28">
        <v>45777.0</v>
      </c>
      <c r="E12" s="30" t="s">
        <v>125</v>
      </c>
      <c r="F12" s="34" t="s">
        <v>126</v>
      </c>
      <c r="G12" s="38" t="s">
        <v>128</v>
      </c>
      <c r="H12" s="56" t="s">
        <v>130</v>
      </c>
      <c r="K12" s="22"/>
      <c r="L12" s="103"/>
    </row>
    <row r="13">
      <c r="A13" s="30"/>
      <c r="B13" s="46"/>
      <c r="C13" s="30"/>
      <c r="D13" s="30"/>
      <c r="E13" s="30"/>
      <c r="F13" s="47"/>
      <c r="G13" s="47"/>
      <c r="H13" s="56" t="s">
        <v>132</v>
      </c>
      <c r="K13" s="22"/>
    </row>
    <row r="14">
      <c r="A14" s="30"/>
      <c r="B14" s="46"/>
      <c r="C14" s="30"/>
      <c r="D14" s="30"/>
      <c r="E14" s="30"/>
      <c r="F14" s="47"/>
      <c r="G14" s="47"/>
      <c r="K14" s="22"/>
    </row>
    <row r="15">
      <c r="A15" s="30"/>
      <c r="B15" s="69"/>
      <c r="C15" s="71">
        <v>3.0</v>
      </c>
      <c r="D15" s="73"/>
      <c r="E15" s="73"/>
      <c r="F15" s="76"/>
      <c r="G15" s="76"/>
      <c r="H15" s="73" t="s">
        <v>139</v>
      </c>
      <c r="I15" s="16"/>
      <c r="J15" s="16"/>
      <c r="K15" s="19"/>
      <c r="AB15" s="109"/>
    </row>
    <row r="16">
      <c r="A16" s="26"/>
      <c r="B16" s="110">
        <v>4.0</v>
      </c>
      <c r="C16" s="111">
        <v>45784.0</v>
      </c>
      <c r="D16" s="111">
        <v>45800.0</v>
      </c>
      <c r="E16" s="30" t="s">
        <v>140</v>
      </c>
      <c r="F16" s="34" t="s">
        <v>126</v>
      </c>
      <c r="G16" s="34" t="s">
        <v>128</v>
      </c>
      <c r="H16" s="30" t="s">
        <v>144</v>
      </c>
      <c r="K16" s="22"/>
    </row>
    <row r="17">
      <c r="A17" s="30"/>
      <c r="B17" s="46"/>
      <c r="C17" s="30"/>
      <c r="D17" s="30"/>
      <c r="E17" s="30"/>
      <c r="F17" s="47"/>
      <c r="G17" s="47"/>
      <c r="H17" s="56" t="s">
        <v>148</v>
      </c>
      <c r="K17" s="22"/>
    </row>
    <row r="18">
      <c r="A18" s="30"/>
      <c r="B18" s="46"/>
      <c r="C18" s="30"/>
      <c r="D18" s="30"/>
      <c r="E18" s="30"/>
      <c r="F18" s="47"/>
      <c r="G18" s="47"/>
      <c r="H18" s="56" t="s">
        <v>152</v>
      </c>
      <c r="K18" s="22"/>
      <c r="L18" s="120"/>
    </row>
    <row r="19">
      <c r="A19" s="30"/>
      <c r="B19" s="46"/>
      <c r="C19" s="30"/>
      <c r="D19" s="30"/>
      <c r="E19" s="30"/>
      <c r="F19" s="47"/>
      <c r="G19" s="47"/>
      <c r="H19" s="56" t="s">
        <v>155</v>
      </c>
      <c r="K19" s="22"/>
    </row>
    <row r="20">
      <c r="A20" s="30"/>
      <c r="B20" s="46"/>
      <c r="C20" s="56"/>
      <c r="D20" s="30"/>
      <c r="E20" s="30"/>
      <c r="F20" s="47"/>
      <c r="G20" s="47"/>
      <c r="H20" s="56" t="s">
        <v>161</v>
      </c>
      <c r="K20" s="22"/>
    </row>
    <row r="21">
      <c r="A21" s="30"/>
      <c r="B21" s="69"/>
      <c r="C21" s="71">
        <v>3.0</v>
      </c>
      <c r="D21" s="73"/>
      <c r="E21" s="73"/>
      <c r="F21" s="76"/>
      <c r="G21" s="76"/>
      <c r="H21" s="71" t="s">
        <v>163</v>
      </c>
      <c r="I21" s="16"/>
      <c r="J21" s="16"/>
      <c r="K21" s="19"/>
    </row>
    <row r="22">
      <c r="B22" s="109"/>
    </row>
    <row r="23">
      <c r="B23" s="124"/>
      <c r="C23" s="125">
        <v>45796.0</v>
      </c>
      <c r="E23" s="126" t="s">
        <v>164</v>
      </c>
    </row>
    <row r="24">
      <c r="B24" s="127"/>
      <c r="C24" s="125">
        <v>45797.0</v>
      </c>
      <c r="E24" s="31" t="s">
        <v>165</v>
      </c>
    </row>
    <row r="25">
      <c r="B25" s="128"/>
      <c r="C25" s="130">
        <v>45799.0</v>
      </c>
      <c r="E25" s="31" t="s">
        <v>166</v>
      </c>
    </row>
    <row r="26">
      <c r="B26" s="132"/>
      <c r="C26" s="133" t="s">
        <v>168</v>
      </c>
      <c r="E26" s="31" t="s">
        <v>169</v>
      </c>
    </row>
    <row r="27">
      <c r="B27" s="109"/>
    </row>
    <row r="28">
      <c r="B28" s="109"/>
    </row>
    <row r="29">
      <c r="B29" s="109"/>
    </row>
    <row r="30">
      <c r="B30" s="109"/>
    </row>
    <row r="31">
      <c r="B31" s="109"/>
    </row>
    <row r="32">
      <c r="B32" s="109"/>
    </row>
    <row r="33">
      <c r="B33" s="109"/>
    </row>
    <row r="34">
      <c r="B34" s="109"/>
    </row>
    <row r="35">
      <c r="B35" s="109"/>
    </row>
    <row r="36">
      <c r="B36" s="109"/>
    </row>
    <row r="37">
      <c r="B37" s="109"/>
    </row>
    <row r="38">
      <c r="B38" s="109"/>
    </row>
    <row r="39">
      <c r="B39" s="109"/>
    </row>
    <row r="40">
      <c r="B40" s="109"/>
    </row>
    <row r="41">
      <c r="B41" s="109"/>
    </row>
    <row r="42">
      <c r="B42" s="109"/>
    </row>
    <row r="43">
      <c r="B43" s="109"/>
    </row>
    <row r="44">
      <c r="B44" s="109"/>
    </row>
    <row r="45">
      <c r="B45" s="109"/>
    </row>
    <row r="46">
      <c r="B46" s="109"/>
    </row>
    <row r="47">
      <c r="B47" s="109"/>
    </row>
    <row r="48">
      <c r="B48" s="109"/>
    </row>
    <row r="49">
      <c r="B49" s="109"/>
    </row>
    <row r="50">
      <c r="B50" s="109"/>
    </row>
    <row r="51">
      <c r="B51" s="109"/>
    </row>
    <row r="52">
      <c r="B52" s="109"/>
    </row>
    <row r="53">
      <c r="B53" s="109"/>
    </row>
    <row r="54">
      <c r="B54" s="109"/>
    </row>
    <row r="55">
      <c r="B55" s="109"/>
    </row>
    <row r="56">
      <c r="B56" s="109"/>
    </row>
    <row r="57">
      <c r="B57" s="109"/>
    </row>
    <row r="58">
      <c r="B58" s="109"/>
    </row>
    <row r="59">
      <c r="B59" s="109"/>
    </row>
    <row r="60">
      <c r="B60" s="109"/>
    </row>
    <row r="61">
      <c r="B61" s="109"/>
    </row>
    <row r="62">
      <c r="B62" s="109"/>
    </row>
    <row r="63">
      <c r="B63" s="109"/>
    </row>
    <row r="64">
      <c r="B64" s="109"/>
    </row>
    <row r="65">
      <c r="B65" s="109"/>
    </row>
    <row r="66">
      <c r="B66" s="109"/>
    </row>
    <row r="67">
      <c r="B67" s="109"/>
    </row>
    <row r="68">
      <c r="B68" s="109"/>
    </row>
    <row r="69">
      <c r="B69" s="109"/>
    </row>
    <row r="70">
      <c r="B70" s="109"/>
    </row>
    <row r="71">
      <c r="B71" s="109"/>
    </row>
    <row r="72">
      <c r="B72" s="109"/>
    </row>
    <row r="73">
      <c r="B73" s="109"/>
    </row>
    <row r="74">
      <c r="B74" s="109"/>
    </row>
    <row r="75">
      <c r="B75" s="109"/>
    </row>
    <row r="76">
      <c r="B76" s="109"/>
    </row>
    <row r="77">
      <c r="B77" s="109"/>
    </row>
    <row r="78">
      <c r="B78" s="109"/>
    </row>
    <row r="79">
      <c r="B79" s="109"/>
    </row>
    <row r="80">
      <c r="B80" s="109"/>
    </row>
    <row r="81">
      <c r="B81" s="109"/>
    </row>
    <row r="82">
      <c r="B82" s="109"/>
    </row>
    <row r="83">
      <c r="B83" s="109"/>
    </row>
    <row r="84">
      <c r="B84" s="109"/>
    </row>
    <row r="85">
      <c r="B85" s="109"/>
    </row>
    <row r="86">
      <c r="B86" s="109"/>
    </row>
    <row r="87">
      <c r="B87" s="109"/>
    </row>
    <row r="88">
      <c r="B88" s="109"/>
    </row>
    <row r="89">
      <c r="B89" s="109"/>
    </row>
    <row r="90">
      <c r="B90" s="109"/>
    </row>
    <row r="91">
      <c r="B91" s="109"/>
    </row>
    <row r="92">
      <c r="B92" s="109"/>
    </row>
    <row r="93">
      <c r="B93" s="109"/>
    </row>
    <row r="94">
      <c r="B94" s="109"/>
    </row>
    <row r="95">
      <c r="B95" s="109"/>
    </row>
    <row r="96">
      <c r="B96" s="109"/>
    </row>
    <row r="97">
      <c r="B97" s="109"/>
    </row>
    <row r="98">
      <c r="B98" s="109"/>
    </row>
    <row r="99">
      <c r="B99" s="109"/>
    </row>
    <row r="100">
      <c r="B100" s="109"/>
    </row>
    <row r="101">
      <c r="B101" s="109"/>
    </row>
    <row r="102">
      <c r="B102" s="109"/>
    </row>
    <row r="103">
      <c r="B103" s="109"/>
    </row>
    <row r="104">
      <c r="B104" s="109"/>
    </row>
    <row r="105">
      <c r="B105" s="109"/>
    </row>
    <row r="106">
      <c r="B106" s="109"/>
    </row>
    <row r="107">
      <c r="B107" s="109"/>
    </row>
    <row r="108">
      <c r="B108" s="109"/>
    </row>
    <row r="109">
      <c r="B109" s="109"/>
    </row>
    <row r="110">
      <c r="B110" s="109"/>
    </row>
    <row r="111">
      <c r="B111" s="109"/>
    </row>
    <row r="112">
      <c r="B112" s="109"/>
    </row>
    <row r="113">
      <c r="B113" s="109"/>
    </row>
    <row r="114">
      <c r="B114" s="109"/>
    </row>
    <row r="115">
      <c r="B115" s="109"/>
    </row>
    <row r="116">
      <c r="B116" s="109"/>
    </row>
    <row r="117">
      <c r="B117" s="109"/>
    </row>
    <row r="118">
      <c r="B118" s="109"/>
    </row>
    <row r="119">
      <c r="B119" s="109"/>
    </row>
    <row r="120">
      <c r="B120" s="109"/>
    </row>
    <row r="121">
      <c r="B121" s="109"/>
    </row>
    <row r="122">
      <c r="B122" s="109"/>
    </row>
    <row r="123">
      <c r="B123" s="109"/>
    </row>
    <row r="124">
      <c r="B124" s="109"/>
    </row>
    <row r="125">
      <c r="B125" s="109"/>
    </row>
    <row r="126">
      <c r="B126" s="109"/>
    </row>
    <row r="127">
      <c r="B127" s="109"/>
    </row>
    <row r="128">
      <c r="B128" s="109"/>
    </row>
    <row r="129">
      <c r="B129" s="109"/>
    </row>
    <row r="130">
      <c r="B130" s="109"/>
    </row>
    <row r="131">
      <c r="B131" s="109"/>
    </row>
    <row r="132">
      <c r="B132" s="109"/>
    </row>
    <row r="133">
      <c r="B133" s="109"/>
    </row>
    <row r="134">
      <c r="B134" s="109"/>
    </row>
    <row r="135">
      <c r="B135" s="109"/>
    </row>
    <row r="136">
      <c r="B136" s="109"/>
    </row>
    <row r="137">
      <c r="B137" s="109"/>
    </row>
    <row r="138">
      <c r="B138" s="109"/>
    </row>
    <row r="139">
      <c r="B139" s="109"/>
    </row>
    <row r="140">
      <c r="B140" s="109"/>
    </row>
    <row r="141">
      <c r="B141" s="109"/>
    </row>
    <row r="142">
      <c r="B142" s="109"/>
    </row>
    <row r="143">
      <c r="B143" s="109"/>
    </row>
    <row r="144">
      <c r="B144" s="109"/>
    </row>
    <row r="145">
      <c r="B145" s="109"/>
    </row>
    <row r="146">
      <c r="B146" s="109"/>
    </row>
    <row r="147">
      <c r="B147" s="109"/>
    </row>
    <row r="148">
      <c r="B148" s="109"/>
    </row>
    <row r="149">
      <c r="B149" s="109"/>
    </row>
    <row r="150">
      <c r="B150" s="109"/>
    </row>
    <row r="151">
      <c r="B151" s="109"/>
    </row>
    <row r="152">
      <c r="B152" s="109"/>
    </row>
    <row r="153">
      <c r="B153" s="109"/>
    </row>
    <row r="154">
      <c r="B154" s="109"/>
    </row>
    <row r="155">
      <c r="B155" s="109"/>
    </row>
    <row r="156">
      <c r="B156" s="109"/>
    </row>
    <row r="157">
      <c r="B157" s="109"/>
    </row>
    <row r="158">
      <c r="B158" s="109"/>
    </row>
    <row r="159">
      <c r="B159" s="109"/>
    </row>
    <row r="160">
      <c r="B160" s="109"/>
    </row>
    <row r="161">
      <c r="B161" s="109"/>
    </row>
    <row r="162">
      <c r="B162" s="109"/>
    </row>
    <row r="163">
      <c r="B163" s="109"/>
    </row>
    <row r="164">
      <c r="B164" s="109"/>
    </row>
    <row r="165">
      <c r="B165" s="109"/>
    </row>
    <row r="166">
      <c r="B166" s="109"/>
    </row>
    <row r="167">
      <c r="B167" s="109"/>
    </row>
    <row r="168">
      <c r="B168" s="109"/>
    </row>
    <row r="169">
      <c r="B169" s="109"/>
    </row>
    <row r="170">
      <c r="B170" s="109"/>
    </row>
    <row r="171">
      <c r="B171" s="109"/>
    </row>
    <row r="172">
      <c r="B172" s="109"/>
    </row>
    <row r="173">
      <c r="B173" s="109"/>
    </row>
    <row r="174">
      <c r="B174" s="109"/>
    </row>
    <row r="175">
      <c r="B175" s="109"/>
    </row>
    <row r="176">
      <c r="B176" s="109"/>
    </row>
    <row r="177">
      <c r="B177" s="109"/>
    </row>
    <row r="178">
      <c r="B178" s="109"/>
    </row>
    <row r="179">
      <c r="B179" s="109"/>
    </row>
    <row r="180">
      <c r="B180" s="109"/>
    </row>
    <row r="181">
      <c r="B181" s="109"/>
    </row>
    <row r="182">
      <c r="B182" s="109"/>
    </row>
    <row r="183">
      <c r="B183" s="109"/>
    </row>
    <row r="184">
      <c r="B184" s="109"/>
    </row>
    <row r="185">
      <c r="B185" s="109"/>
    </row>
    <row r="186">
      <c r="B186" s="109"/>
    </row>
    <row r="187">
      <c r="B187" s="109"/>
    </row>
    <row r="188">
      <c r="B188" s="109"/>
    </row>
    <row r="189">
      <c r="B189" s="109"/>
    </row>
    <row r="190">
      <c r="B190" s="109"/>
    </row>
    <row r="191">
      <c r="B191" s="109"/>
    </row>
    <row r="192">
      <c r="B192" s="109"/>
    </row>
    <row r="193">
      <c r="B193" s="109"/>
    </row>
    <row r="194">
      <c r="B194" s="109"/>
    </row>
    <row r="195">
      <c r="B195" s="109"/>
    </row>
    <row r="196">
      <c r="B196" s="109"/>
    </row>
    <row r="197">
      <c r="B197" s="109"/>
    </row>
    <row r="198">
      <c r="B198" s="109"/>
    </row>
    <row r="199">
      <c r="B199" s="109"/>
    </row>
    <row r="200">
      <c r="B200" s="109"/>
    </row>
    <row r="201">
      <c r="B201" s="109"/>
    </row>
    <row r="202">
      <c r="B202" s="109"/>
    </row>
    <row r="203">
      <c r="B203" s="109"/>
    </row>
    <row r="204">
      <c r="B204" s="109"/>
    </row>
    <row r="205">
      <c r="B205" s="109"/>
    </row>
    <row r="206">
      <c r="B206" s="109"/>
    </row>
    <row r="207">
      <c r="B207" s="109"/>
    </row>
    <row r="208">
      <c r="B208" s="109"/>
    </row>
    <row r="209">
      <c r="B209" s="109"/>
    </row>
    <row r="210">
      <c r="B210" s="109"/>
    </row>
    <row r="211">
      <c r="B211" s="109"/>
    </row>
    <row r="212">
      <c r="B212" s="109"/>
    </row>
    <row r="213">
      <c r="B213" s="109"/>
    </row>
    <row r="214">
      <c r="B214" s="109"/>
    </row>
    <row r="215">
      <c r="B215" s="109"/>
    </row>
    <row r="216">
      <c r="B216" s="109"/>
    </row>
    <row r="217">
      <c r="B217" s="109"/>
    </row>
    <row r="218">
      <c r="B218" s="109"/>
    </row>
    <row r="219">
      <c r="B219" s="109"/>
    </row>
    <row r="220">
      <c r="B220" s="109"/>
    </row>
    <row r="221">
      <c r="B221" s="109"/>
    </row>
    <row r="222">
      <c r="B222" s="109"/>
    </row>
    <row r="223">
      <c r="B223" s="109"/>
    </row>
    <row r="224">
      <c r="B224" s="109"/>
    </row>
    <row r="225">
      <c r="B225" s="109"/>
    </row>
    <row r="226">
      <c r="B226" s="109"/>
    </row>
    <row r="227">
      <c r="B227" s="109"/>
    </row>
    <row r="228">
      <c r="B228" s="109"/>
    </row>
    <row r="229">
      <c r="B229" s="109"/>
    </row>
    <row r="230">
      <c r="B230" s="109"/>
    </row>
    <row r="231">
      <c r="B231" s="109"/>
    </row>
    <row r="232">
      <c r="B232" s="109"/>
    </row>
    <row r="233">
      <c r="B233" s="109"/>
    </row>
    <row r="234">
      <c r="B234" s="109"/>
    </row>
    <row r="235">
      <c r="B235" s="109"/>
    </row>
    <row r="236">
      <c r="B236" s="109"/>
    </row>
    <row r="237">
      <c r="B237" s="109"/>
    </row>
    <row r="238">
      <c r="B238" s="109"/>
    </row>
    <row r="239">
      <c r="B239" s="109"/>
    </row>
    <row r="240">
      <c r="B240" s="109"/>
    </row>
    <row r="241">
      <c r="B241" s="109"/>
    </row>
    <row r="242">
      <c r="B242" s="109"/>
    </row>
    <row r="243">
      <c r="B243" s="109"/>
    </row>
    <row r="244">
      <c r="B244" s="109"/>
    </row>
    <row r="245">
      <c r="B245" s="109"/>
    </row>
    <row r="246">
      <c r="B246" s="109"/>
    </row>
    <row r="247">
      <c r="B247" s="109"/>
    </row>
    <row r="248">
      <c r="B248" s="109"/>
    </row>
    <row r="249">
      <c r="B249" s="109"/>
    </row>
    <row r="250">
      <c r="B250" s="109"/>
    </row>
    <row r="251">
      <c r="B251" s="109"/>
    </row>
    <row r="252">
      <c r="B252" s="109"/>
    </row>
    <row r="253">
      <c r="B253" s="109"/>
    </row>
    <row r="254">
      <c r="B254" s="109"/>
    </row>
    <row r="255">
      <c r="B255" s="109"/>
    </row>
    <row r="256">
      <c r="B256" s="109"/>
    </row>
    <row r="257">
      <c r="B257" s="109"/>
    </row>
    <row r="258">
      <c r="B258" s="109"/>
    </row>
    <row r="259">
      <c r="B259" s="109"/>
    </row>
    <row r="260">
      <c r="B260" s="109"/>
    </row>
    <row r="261">
      <c r="B261" s="109"/>
    </row>
    <row r="262">
      <c r="B262" s="109"/>
    </row>
    <row r="263">
      <c r="B263" s="109"/>
    </row>
    <row r="264">
      <c r="B264" s="109"/>
    </row>
    <row r="265">
      <c r="B265" s="109"/>
    </row>
    <row r="266">
      <c r="B266" s="109"/>
    </row>
    <row r="267">
      <c r="B267" s="109"/>
    </row>
    <row r="268">
      <c r="B268" s="109"/>
    </row>
    <row r="269">
      <c r="B269" s="109"/>
    </row>
    <row r="270">
      <c r="B270" s="109"/>
    </row>
    <row r="271">
      <c r="B271" s="109"/>
    </row>
    <row r="272">
      <c r="B272" s="109"/>
    </row>
    <row r="273">
      <c r="B273" s="109"/>
    </row>
    <row r="274">
      <c r="B274" s="109"/>
    </row>
    <row r="275">
      <c r="B275" s="109"/>
    </row>
    <row r="276">
      <c r="B276" s="109"/>
    </row>
    <row r="277">
      <c r="B277" s="109"/>
    </row>
    <row r="278">
      <c r="B278" s="109"/>
    </row>
    <row r="279">
      <c r="B279" s="109"/>
    </row>
    <row r="280">
      <c r="B280" s="109"/>
    </row>
    <row r="281">
      <c r="B281" s="109"/>
    </row>
    <row r="282">
      <c r="B282" s="109"/>
    </row>
    <row r="283">
      <c r="B283" s="109"/>
    </row>
    <row r="284">
      <c r="B284" s="109"/>
    </row>
    <row r="285">
      <c r="B285" s="109"/>
    </row>
    <row r="286">
      <c r="B286" s="109"/>
    </row>
    <row r="287">
      <c r="B287" s="109"/>
    </row>
    <row r="288">
      <c r="B288" s="109"/>
    </row>
    <row r="289">
      <c r="B289" s="109"/>
    </row>
    <row r="290">
      <c r="B290" s="109"/>
    </row>
    <row r="291">
      <c r="B291" s="109"/>
    </row>
    <row r="292">
      <c r="B292" s="109"/>
    </row>
    <row r="293">
      <c r="B293" s="109"/>
    </row>
    <row r="294">
      <c r="B294" s="109"/>
    </row>
    <row r="295">
      <c r="B295" s="109"/>
    </row>
    <row r="296">
      <c r="B296" s="109"/>
    </row>
    <row r="297">
      <c r="B297" s="109"/>
    </row>
    <row r="298">
      <c r="B298" s="109"/>
    </row>
    <row r="299">
      <c r="B299" s="109"/>
    </row>
    <row r="300">
      <c r="B300" s="109"/>
    </row>
    <row r="301">
      <c r="B301" s="109"/>
    </row>
    <row r="302">
      <c r="B302" s="109"/>
    </row>
    <row r="303">
      <c r="B303" s="109"/>
    </row>
    <row r="304">
      <c r="B304" s="109"/>
    </row>
    <row r="305">
      <c r="B305" s="109"/>
    </row>
    <row r="306">
      <c r="B306" s="109"/>
    </row>
    <row r="307">
      <c r="B307" s="109"/>
    </row>
    <row r="308">
      <c r="B308" s="109"/>
    </row>
    <row r="309">
      <c r="B309" s="109"/>
    </row>
    <row r="310">
      <c r="B310" s="109"/>
    </row>
    <row r="311">
      <c r="B311" s="109"/>
    </row>
    <row r="312">
      <c r="B312" s="109"/>
    </row>
    <row r="313">
      <c r="B313" s="109"/>
    </row>
    <row r="314">
      <c r="B314" s="109"/>
    </row>
    <row r="315">
      <c r="B315" s="109"/>
    </row>
    <row r="316">
      <c r="B316" s="109"/>
    </row>
    <row r="317">
      <c r="B317" s="109"/>
    </row>
    <row r="318">
      <c r="B318" s="109"/>
    </row>
    <row r="319">
      <c r="B319" s="109"/>
    </row>
    <row r="320">
      <c r="B320" s="109"/>
    </row>
    <row r="321">
      <c r="B321" s="109"/>
    </row>
    <row r="322">
      <c r="B322" s="109"/>
    </row>
    <row r="323">
      <c r="B323" s="109"/>
    </row>
    <row r="324">
      <c r="B324" s="109"/>
    </row>
    <row r="325">
      <c r="B325" s="109"/>
    </row>
    <row r="326">
      <c r="B326" s="109"/>
    </row>
    <row r="327">
      <c r="B327" s="109"/>
    </row>
    <row r="328">
      <c r="B328" s="109"/>
    </row>
    <row r="329">
      <c r="B329" s="109"/>
    </row>
    <row r="330">
      <c r="B330" s="109"/>
    </row>
    <row r="331">
      <c r="B331" s="109"/>
    </row>
    <row r="332">
      <c r="B332" s="109"/>
    </row>
    <row r="333">
      <c r="B333" s="109"/>
    </row>
    <row r="334">
      <c r="B334" s="109"/>
    </row>
    <row r="335">
      <c r="B335" s="109"/>
    </row>
    <row r="336">
      <c r="B336" s="109"/>
    </row>
    <row r="337">
      <c r="B337" s="109"/>
    </row>
    <row r="338">
      <c r="B338" s="109"/>
    </row>
    <row r="339">
      <c r="B339" s="109"/>
    </row>
    <row r="340">
      <c r="B340" s="109"/>
    </row>
    <row r="341">
      <c r="B341" s="109"/>
    </row>
    <row r="342">
      <c r="B342" s="109"/>
    </row>
    <row r="343">
      <c r="B343" s="109"/>
    </row>
    <row r="344">
      <c r="B344" s="109"/>
    </row>
    <row r="345">
      <c r="B345" s="109"/>
    </row>
    <row r="346">
      <c r="B346" s="109"/>
    </row>
    <row r="347">
      <c r="B347" s="109"/>
    </row>
    <row r="348">
      <c r="B348" s="109"/>
    </row>
    <row r="349">
      <c r="B349" s="109"/>
    </row>
    <row r="350">
      <c r="B350" s="109"/>
    </row>
    <row r="351">
      <c r="B351" s="109"/>
    </row>
    <row r="352">
      <c r="B352" s="109"/>
    </row>
    <row r="353">
      <c r="B353" s="109"/>
    </row>
    <row r="354">
      <c r="B354" s="109"/>
    </row>
    <row r="355">
      <c r="B355" s="109"/>
    </row>
    <row r="356">
      <c r="B356" s="109"/>
    </row>
    <row r="357">
      <c r="B357" s="109"/>
    </row>
    <row r="358">
      <c r="B358" s="109"/>
    </row>
    <row r="359">
      <c r="B359" s="109"/>
    </row>
    <row r="360">
      <c r="B360" s="109"/>
    </row>
    <row r="361">
      <c r="B361" s="109"/>
    </row>
    <row r="362">
      <c r="B362" s="109"/>
    </row>
    <row r="363">
      <c r="B363" s="109"/>
    </row>
    <row r="364">
      <c r="B364" s="109"/>
    </row>
    <row r="365">
      <c r="B365" s="109"/>
    </row>
    <row r="366">
      <c r="B366" s="109"/>
    </row>
    <row r="367">
      <c r="B367" s="109"/>
    </row>
    <row r="368">
      <c r="B368" s="109"/>
    </row>
    <row r="369">
      <c r="B369" s="109"/>
    </row>
    <row r="370">
      <c r="B370" s="109"/>
    </row>
    <row r="371">
      <c r="B371" s="109"/>
    </row>
    <row r="372">
      <c r="B372" s="109"/>
    </row>
    <row r="373">
      <c r="B373" s="109"/>
    </row>
    <row r="374">
      <c r="B374" s="109"/>
    </row>
    <row r="375">
      <c r="B375" s="109"/>
    </row>
    <row r="376">
      <c r="B376" s="109"/>
    </row>
    <row r="377">
      <c r="B377" s="109"/>
    </row>
    <row r="378">
      <c r="B378" s="109"/>
    </row>
    <row r="379">
      <c r="B379" s="109"/>
    </row>
    <row r="380">
      <c r="B380" s="109"/>
    </row>
    <row r="381">
      <c r="B381" s="109"/>
    </row>
    <row r="382">
      <c r="B382" s="109"/>
    </row>
    <row r="383">
      <c r="B383" s="109"/>
    </row>
    <row r="384">
      <c r="B384" s="109"/>
    </row>
    <row r="385">
      <c r="B385" s="109"/>
    </row>
    <row r="386">
      <c r="B386" s="109"/>
    </row>
    <row r="387">
      <c r="B387" s="109"/>
    </row>
    <row r="388">
      <c r="B388" s="109"/>
    </row>
    <row r="389">
      <c r="B389" s="109"/>
    </row>
    <row r="390">
      <c r="B390" s="109"/>
    </row>
    <row r="391">
      <c r="B391" s="109"/>
    </row>
    <row r="392">
      <c r="B392" s="109"/>
    </row>
    <row r="393">
      <c r="B393" s="109"/>
    </row>
    <row r="394">
      <c r="B394" s="109"/>
    </row>
    <row r="395">
      <c r="B395" s="109"/>
    </row>
    <row r="396">
      <c r="B396" s="109"/>
    </row>
    <row r="397">
      <c r="B397" s="109"/>
    </row>
    <row r="398">
      <c r="B398" s="109"/>
    </row>
    <row r="399">
      <c r="B399" s="109"/>
    </row>
    <row r="400">
      <c r="B400" s="109"/>
    </row>
    <row r="401">
      <c r="B401" s="109"/>
    </row>
    <row r="402">
      <c r="B402" s="109"/>
    </row>
    <row r="403">
      <c r="B403" s="109"/>
    </row>
    <row r="404">
      <c r="B404" s="109"/>
    </row>
    <row r="405">
      <c r="B405" s="109"/>
    </row>
    <row r="406">
      <c r="B406" s="109"/>
    </row>
    <row r="407">
      <c r="B407" s="109"/>
    </row>
    <row r="408">
      <c r="B408" s="109"/>
    </row>
    <row r="409">
      <c r="B409" s="109"/>
    </row>
    <row r="410">
      <c r="B410" s="109"/>
    </row>
    <row r="411">
      <c r="B411" s="109"/>
    </row>
    <row r="412">
      <c r="B412" s="109"/>
    </row>
    <row r="413">
      <c r="B413" s="109"/>
    </row>
    <row r="414">
      <c r="B414" s="109"/>
    </row>
    <row r="415">
      <c r="B415" s="109"/>
    </row>
    <row r="416">
      <c r="B416" s="109"/>
    </row>
    <row r="417">
      <c r="B417" s="109"/>
    </row>
    <row r="418">
      <c r="B418" s="109"/>
    </row>
    <row r="419">
      <c r="B419" s="109"/>
    </row>
    <row r="420">
      <c r="B420" s="109"/>
    </row>
    <row r="421">
      <c r="B421" s="109"/>
    </row>
    <row r="422">
      <c r="B422" s="109"/>
    </row>
    <row r="423">
      <c r="B423" s="109"/>
    </row>
    <row r="424">
      <c r="B424" s="109"/>
    </row>
    <row r="425">
      <c r="B425" s="109"/>
    </row>
    <row r="426">
      <c r="B426" s="109"/>
    </row>
    <row r="427">
      <c r="B427" s="109"/>
    </row>
    <row r="428">
      <c r="B428" s="109"/>
    </row>
    <row r="429">
      <c r="B429" s="109"/>
    </row>
    <row r="430">
      <c r="B430" s="109"/>
    </row>
    <row r="431">
      <c r="B431" s="109"/>
    </row>
    <row r="432">
      <c r="B432" s="109"/>
    </row>
    <row r="433">
      <c r="B433" s="109"/>
    </row>
    <row r="434">
      <c r="B434" s="109"/>
    </row>
    <row r="435">
      <c r="B435" s="109"/>
    </row>
    <row r="436">
      <c r="B436" s="109"/>
    </row>
    <row r="437">
      <c r="B437" s="109"/>
    </row>
    <row r="438">
      <c r="B438" s="109"/>
    </row>
    <row r="439">
      <c r="B439" s="109"/>
    </row>
    <row r="440">
      <c r="B440" s="109"/>
    </row>
    <row r="441">
      <c r="B441" s="109"/>
    </row>
    <row r="442">
      <c r="B442" s="109"/>
    </row>
    <row r="443">
      <c r="B443" s="109"/>
    </row>
    <row r="444">
      <c r="B444" s="109"/>
    </row>
    <row r="445">
      <c r="B445" s="109"/>
    </row>
    <row r="446">
      <c r="B446" s="109"/>
    </row>
    <row r="447">
      <c r="B447" s="109"/>
    </row>
    <row r="448">
      <c r="B448" s="109"/>
    </row>
    <row r="449">
      <c r="B449" s="109"/>
    </row>
    <row r="450">
      <c r="B450" s="109"/>
    </row>
    <row r="451">
      <c r="B451" s="109"/>
    </row>
    <row r="452">
      <c r="B452" s="109"/>
    </row>
    <row r="453">
      <c r="B453" s="109"/>
    </row>
    <row r="454">
      <c r="B454" s="109"/>
    </row>
    <row r="455">
      <c r="B455" s="109"/>
    </row>
    <row r="456">
      <c r="B456" s="109"/>
    </row>
    <row r="457">
      <c r="B457" s="109"/>
    </row>
    <row r="458">
      <c r="B458" s="109"/>
    </row>
    <row r="459">
      <c r="B459" s="109"/>
    </row>
    <row r="460">
      <c r="B460" s="109"/>
    </row>
    <row r="461">
      <c r="B461" s="109"/>
    </row>
    <row r="462">
      <c r="B462" s="109"/>
    </row>
    <row r="463">
      <c r="B463" s="109"/>
    </row>
    <row r="464">
      <c r="B464" s="109"/>
    </row>
    <row r="465">
      <c r="B465" s="109"/>
    </row>
    <row r="466">
      <c r="B466" s="109"/>
    </row>
    <row r="467">
      <c r="B467" s="109"/>
    </row>
    <row r="468">
      <c r="B468" s="109"/>
    </row>
    <row r="469">
      <c r="B469" s="109"/>
    </row>
    <row r="470">
      <c r="B470" s="109"/>
    </row>
    <row r="471">
      <c r="B471" s="109"/>
    </row>
    <row r="472">
      <c r="B472" s="109"/>
    </row>
    <row r="473">
      <c r="B473" s="109"/>
    </row>
    <row r="474">
      <c r="B474" s="109"/>
    </row>
    <row r="475">
      <c r="B475" s="109"/>
    </row>
    <row r="476">
      <c r="B476" s="109"/>
    </row>
    <row r="477">
      <c r="B477" s="109"/>
    </row>
    <row r="478">
      <c r="B478" s="109"/>
    </row>
    <row r="479">
      <c r="B479" s="109"/>
    </row>
    <row r="480">
      <c r="B480" s="109"/>
    </row>
    <row r="481">
      <c r="B481" s="109"/>
    </row>
    <row r="482">
      <c r="B482" s="109"/>
    </row>
    <row r="483">
      <c r="B483" s="109"/>
    </row>
    <row r="484">
      <c r="B484" s="109"/>
    </row>
    <row r="485">
      <c r="B485" s="109"/>
    </row>
    <row r="486">
      <c r="B486" s="109"/>
    </row>
    <row r="487">
      <c r="B487" s="109"/>
    </row>
    <row r="488">
      <c r="B488" s="109"/>
    </row>
    <row r="489">
      <c r="B489" s="109"/>
    </row>
    <row r="490">
      <c r="B490" s="109"/>
    </row>
    <row r="491">
      <c r="B491" s="109"/>
    </row>
    <row r="492">
      <c r="B492" s="109"/>
    </row>
    <row r="493">
      <c r="B493" s="109"/>
    </row>
    <row r="494">
      <c r="B494" s="109"/>
    </row>
    <row r="495">
      <c r="B495" s="109"/>
    </row>
    <row r="496">
      <c r="B496" s="109"/>
    </row>
    <row r="497">
      <c r="B497" s="109"/>
    </row>
    <row r="498">
      <c r="B498" s="109"/>
    </row>
    <row r="499">
      <c r="B499" s="109"/>
    </row>
    <row r="500">
      <c r="B500" s="109"/>
    </row>
    <row r="501">
      <c r="B501" s="109"/>
    </row>
    <row r="502">
      <c r="B502" s="109"/>
    </row>
    <row r="503">
      <c r="B503" s="109"/>
    </row>
    <row r="504">
      <c r="B504" s="109"/>
    </row>
    <row r="505">
      <c r="B505" s="109"/>
    </row>
    <row r="506">
      <c r="B506" s="109"/>
    </row>
    <row r="507">
      <c r="B507" s="109"/>
    </row>
    <row r="508">
      <c r="B508" s="109"/>
    </row>
    <row r="509">
      <c r="B509" s="109"/>
    </row>
    <row r="510">
      <c r="B510" s="109"/>
    </row>
    <row r="511">
      <c r="B511" s="109"/>
    </row>
    <row r="512">
      <c r="B512" s="109"/>
    </row>
    <row r="513">
      <c r="B513" s="109"/>
    </row>
    <row r="514">
      <c r="B514" s="109"/>
    </row>
    <row r="515">
      <c r="B515" s="109"/>
    </row>
    <row r="516">
      <c r="B516" s="109"/>
    </row>
    <row r="517">
      <c r="B517" s="109"/>
    </row>
    <row r="518">
      <c r="B518" s="109"/>
    </row>
    <row r="519">
      <c r="B519" s="109"/>
    </row>
    <row r="520">
      <c r="B520" s="109"/>
    </row>
    <row r="521">
      <c r="B521" s="109"/>
    </row>
    <row r="522">
      <c r="B522" s="109"/>
    </row>
    <row r="523">
      <c r="B523" s="109"/>
    </row>
    <row r="524">
      <c r="B524" s="109"/>
    </row>
    <row r="525">
      <c r="B525" s="109"/>
    </row>
    <row r="526">
      <c r="B526" s="109"/>
    </row>
    <row r="527">
      <c r="B527" s="109"/>
    </row>
    <row r="528">
      <c r="B528" s="109"/>
    </row>
    <row r="529">
      <c r="B529" s="109"/>
    </row>
    <row r="530">
      <c r="B530" s="109"/>
    </row>
    <row r="531">
      <c r="B531" s="109"/>
    </row>
    <row r="532">
      <c r="B532" s="109"/>
    </row>
    <row r="533">
      <c r="B533" s="109"/>
    </row>
    <row r="534">
      <c r="B534" s="109"/>
    </row>
    <row r="535">
      <c r="B535" s="109"/>
    </row>
    <row r="536">
      <c r="B536" s="109"/>
    </row>
    <row r="537">
      <c r="B537" s="109"/>
    </row>
    <row r="538">
      <c r="B538" s="109"/>
    </row>
    <row r="539">
      <c r="B539" s="109"/>
    </row>
    <row r="540">
      <c r="B540" s="109"/>
    </row>
    <row r="541">
      <c r="B541" s="109"/>
    </row>
    <row r="542">
      <c r="B542" s="109"/>
    </row>
    <row r="543">
      <c r="B543" s="109"/>
    </row>
    <row r="544">
      <c r="B544" s="109"/>
    </row>
    <row r="545">
      <c r="B545" s="109"/>
    </row>
    <row r="546">
      <c r="B546" s="109"/>
    </row>
    <row r="547">
      <c r="B547" s="109"/>
    </row>
    <row r="548">
      <c r="B548" s="109"/>
    </row>
    <row r="549">
      <c r="B549" s="109"/>
    </row>
    <row r="550">
      <c r="B550" s="109"/>
    </row>
    <row r="551">
      <c r="B551" s="109"/>
    </row>
    <row r="552">
      <c r="B552" s="109"/>
    </row>
    <row r="553">
      <c r="B553" s="109"/>
    </row>
    <row r="554">
      <c r="B554" s="109"/>
    </row>
    <row r="555">
      <c r="B555" s="109"/>
    </row>
    <row r="556">
      <c r="B556" s="109"/>
    </row>
    <row r="557">
      <c r="B557" s="109"/>
    </row>
    <row r="558">
      <c r="B558" s="109"/>
    </row>
    <row r="559">
      <c r="B559" s="109"/>
    </row>
    <row r="560">
      <c r="B560" s="109"/>
    </row>
    <row r="561">
      <c r="B561" s="109"/>
    </row>
    <row r="562">
      <c r="B562" s="109"/>
    </row>
    <row r="563">
      <c r="B563" s="109"/>
    </row>
    <row r="564">
      <c r="B564" s="109"/>
    </row>
    <row r="565">
      <c r="B565" s="109"/>
    </row>
    <row r="566">
      <c r="B566" s="109"/>
    </row>
    <row r="567">
      <c r="B567" s="109"/>
    </row>
    <row r="568">
      <c r="B568" s="109"/>
    </row>
    <row r="569">
      <c r="B569" s="109"/>
    </row>
    <row r="570">
      <c r="B570" s="109"/>
    </row>
    <row r="571">
      <c r="B571" s="109"/>
    </row>
    <row r="572">
      <c r="B572" s="109"/>
    </row>
    <row r="573">
      <c r="B573" s="109"/>
    </row>
    <row r="574">
      <c r="B574" s="109"/>
    </row>
    <row r="575">
      <c r="B575" s="109"/>
    </row>
    <row r="576">
      <c r="B576" s="109"/>
    </row>
    <row r="577">
      <c r="B577" s="109"/>
    </row>
    <row r="578">
      <c r="B578" s="109"/>
    </row>
    <row r="579">
      <c r="B579" s="109"/>
    </row>
    <row r="580">
      <c r="B580" s="109"/>
    </row>
    <row r="581">
      <c r="B581" s="109"/>
    </row>
    <row r="582">
      <c r="B582" s="109"/>
    </row>
    <row r="583">
      <c r="B583" s="109"/>
    </row>
    <row r="584">
      <c r="B584" s="109"/>
    </row>
    <row r="585">
      <c r="B585" s="109"/>
    </row>
    <row r="586">
      <c r="B586" s="109"/>
    </row>
    <row r="587">
      <c r="B587" s="109"/>
    </row>
    <row r="588">
      <c r="B588" s="109"/>
    </row>
    <row r="589">
      <c r="B589" s="109"/>
    </row>
    <row r="590">
      <c r="B590" s="109"/>
    </row>
    <row r="591">
      <c r="B591" s="109"/>
    </row>
    <row r="592">
      <c r="B592" s="109"/>
    </row>
    <row r="593">
      <c r="B593" s="109"/>
    </row>
    <row r="594">
      <c r="B594" s="109"/>
    </row>
    <row r="595">
      <c r="B595" s="109"/>
    </row>
    <row r="596">
      <c r="B596" s="109"/>
    </row>
    <row r="597">
      <c r="B597" s="109"/>
    </row>
    <row r="598">
      <c r="B598" s="109"/>
    </row>
    <row r="599">
      <c r="B599" s="109"/>
    </row>
    <row r="600">
      <c r="B600" s="109"/>
    </row>
    <row r="601">
      <c r="B601" s="109"/>
    </row>
    <row r="602">
      <c r="B602" s="109"/>
    </row>
    <row r="603">
      <c r="B603" s="109"/>
    </row>
    <row r="604">
      <c r="B604" s="109"/>
    </row>
    <row r="605">
      <c r="B605" s="109"/>
    </row>
    <row r="606">
      <c r="B606" s="109"/>
    </row>
    <row r="607">
      <c r="B607" s="109"/>
    </row>
    <row r="608">
      <c r="B608" s="109"/>
    </row>
    <row r="609">
      <c r="B609" s="109"/>
    </row>
    <row r="610">
      <c r="B610" s="109"/>
    </row>
    <row r="611">
      <c r="B611" s="109"/>
    </row>
    <row r="612">
      <c r="B612" s="109"/>
    </row>
    <row r="613">
      <c r="B613" s="109"/>
    </row>
    <row r="614">
      <c r="B614" s="109"/>
    </row>
    <row r="615">
      <c r="B615" s="109"/>
    </row>
    <row r="616">
      <c r="B616" s="109"/>
    </row>
    <row r="617">
      <c r="B617" s="109"/>
    </row>
    <row r="618">
      <c r="B618" s="109"/>
    </row>
    <row r="619">
      <c r="B619" s="109"/>
    </row>
    <row r="620">
      <c r="B620" s="109"/>
    </row>
    <row r="621">
      <c r="B621" s="109"/>
    </row>
    <row r="622">
      <c r="B622" s="109"/>
    </row>
    <row r="623">
      <c r="B623" s="109"/>
    </row>
    <row r="624">
      <c r="B624" s="109"/>
    </row>
    <row r="625">
      <c r="B625" s="109"/>
    </row>
    <row r="626">
      <c r="B626" s="109"/>
    </row>
    <row r="627">
      <c r="B627" s="109"/>
    </row>
    <row r="628">
      <c r="B628" s="109"/>
    </row>
    <row r="629">
      <c r="B629" s="109"/>
    </row>
    <row r="630">
      <c r="B630" s="109"/>
    </row>
    <row r="631">
      <c r="B631" s="109"/>
    </row>
    <row r="632">
      <c r="B632" s="109"/>
    </row>
    <row r="633">
      <c r="B633" s="109"/>
    </row>
    <row r="634">
      <c r="B634" s="109"/>
    </row>
    <row r="635">
      <c r="B635" s="109"/>
    </row>
    <row r="636">
      <c r="B636" s="109"/>
    </row>
    <row r="637">
      <c r="B637" s="109"/>
    </row>
    <row r="638">
      <c r="B638" s="109"/>
    </row>
    <row r="639">
      <c r="B639" s="109"/>
    </row>
    <row r="640">
      <c r="B640" s="109"/>
    </row>
    <row r="641">
      <c r="B641" s="109"/>
    </row>
    <row r="642">
      <c r="B642" s="109"/>
    </row>
    <row r="643">
      <c r="B643" s="109"/>
    </row>
    <row r="644">
      <c r="B644" s="109"/>
    </row>
    <row r="645">
      <c r="B645" s="109"/>
    </row>
    <row r="646">
      <c r="B646" s="109"/>
    </row>
    <row r="647">
      <c r="B647" s="109"/>
    </row>
    <row r="648">
      <c r="B648" s="109"/>
    </row>
    <row r="649">
      <c r="B649" s="109"/>
    </row>
    <row r="650">
      <c r="B650" s="109"/>
    </row>
    <row r="651">
      <c r="B651" s="109"/>
    </row>
    <row r="652">
      <c r="B652" s="109"/>
    </row>
    <row r="653">
      <c r="B653" s="109"/>
    </row>
    <row r="654">
      <c r="B654" s="109"/>
    </row>
    <row r="655">
      <c r="B655" s="109"/>
    </row>
    <row r="656">
      <c r="B656" s="109"/>
    </row>
    <row r="657">
      <c r="B657" s="109"/>
    </row>
    <row r="658">
      <c r="B658" s="109"/>
    </row>
    <row r="659">
      <c r="B659" s="109"/>
    </row>
    <row r="660">
      <c r="B660" s="109"/>
    </row>
    <row r="661">
      <c r="B661" s="109"/>
    </row>
    <row r="662">
      <c r="B662" s="109"/>
    </row>
    <row r="663">
      <c r="B663" s="109"/>
    </row>
    <row r="664">
      <c r="B664" s="109"/>
    </row>
    <row r="665">
      <c r="B665" s="109"/>
    </row>
    <row r="666">
      <c r="B666" s="109"/>
    </row>
    <row r="667">
      <c r="B667" s="109"/>
    </row>
    <row r="668">
      <c r="B668" s="109"/>
    </row>
    <row r="669">
      <c r="B669" s="109"/>
    </row>
    <row r="670">
      <c r="B670" s="109"/>
    </row>
    <row r="671">
      <c r="B671" s="109"/>
    </row>
    <row r="672">
      <c r="B672" s="109"/>
    </row>
    <row r="673">
      <c r="B673" s="109"/>
    </row>
    <row r="674">
      <c r="B674" s="109"/>
    </row>
    <row r="675">
      <c r="B675" s="109"/>
    </row>
    <row r="676">
      <c r="B676" s="109"/>
    </row>
    <row r="677">
      <c r="B677" s="109"/>
    </row>
    <row r="678">
      <c r="B678" s="109"/>
    </row>
    <row r="679">
      <c r="B679" s="109"/>
    </row>
    <row r="680">
      <c r="B680" s="109"/>
    </row>
    <row r="681">
      <c r="B681" s="109"/>
    </row>
    <row r="682">
      <c r="B682" s="109"/>
    </row>
    <row r="683">
      <c r="B683" s="109"/>
    </row>
    <row r="684">
      <c r="B684" s="109"/>
    </row>
    <row r="685">
      <c r="B685" s="109"/>
    </row>
    <row r="686">
      <c r="B686" s="109"/>
    </row>
    <row r="687">
      <c r="B687" s="109"/>
    </row>
    <row r="688">
      <c r="B688" s="109"/>
    </row>
    <row r="689">
      <c r="B689" s="109"/>
    </row>
    <row r="690">
      <c r="B690" s="109"/>
    </row>
    <row r="691">
      <c r="B691" s="109"/>
    </row>
    <row r="692">
      <c r="B692" s="109"/>
    </row>
    <row r="693">
      <c r="B693" s="109"/>
    </row>
    <row r="694">
      <c r="B694" s="109"/>
    </row>
    <row r="695">
      <c r="B695" s="109"/>
    </row>
    <row r="696">
      <c r="B696" s="109"/>
    </row>
    <row r="697">
      <c r="B697" s="109"/>
    </row>
    <row r="698">
      <c r="B698" s="109"/>
    </row>
    <row r="699">
      <c r="B699" s="109"/>
    </row>
    <row r="700">
      <c r="B700" s="109"/>
    </row>
    <row r="701">
      <c r="B701" s="109"/>
    </row>
    <row r="702">
      <c r="B702" s="109"/>
    </row>
    <row r="703">
      <c r="B703" s="109"/>
    </row>
    <row r="704">
      <c r="B704" s="109"/>
    </row>
    <row r="705">
      <c r="B705" s="109"/>
    </row>
    <row r="706">
      <c r="B706" s="109"/>
    </row>
    <row r="707">
      <c r="B707" s="109"/>
    </row>
    <row r="708">
      <c r="B708" s="109"/>
    </row>
    <row r="709">
      <c r="B709" s="109"/>
    </row>
    <row r="710">
      <c r="B710" s="109"/>
    </row>
    <row r="711">
      <c r="B711" s="109"/>
    </row>
    <row r="712">
      <c r="B712" s="109"/>
    </row>
    <row r="713">
      <c r="B713" s="109"/>
    </row>
    <row r="714">
      <c r="B714" s="109"/>
    </row>
    <row r="715">
      <c r="B715" s="109"/>
    </row>
    <row r="716">
      <c r="B716" s="109"/>
    </row>
    <row r="717">
      <c r="B717" s="109"/>
    </row>
    <row r="718">
      <c r="B718" s="109"/>
    </row>
    <row r="719">
      <c r="B719" s="109"/>
    </row>
    <row r="720">
      <c r="B720" s="109"/>
    </row>
    <row r="721">
      <c r="B721" s="109"/>
    </row>
    <row r="722">
      <c r="B722" s="109"/>
    </row>
    <row r="723">
      <c r="B723" s="109"/>
    </row>
    <row r="724">
      <c r="B724" s="109"/>
    </row>
    <row r="725">
      <c r="B725" s="109"/>
    </row>
    <row r="726">
      <c r="B726" s="109"/>
    </row>
    <row r="727">
      <c r="B727" s="109"/>
    </row>
    <row r="728">
      <c r="B728" s="109"/>
    </row>
    <row r="729">
      <c r="B729" s="109"/>
    </row>
    <row r="730">
      <c r="B730" s="109"/>
    </row>
    <row r="731">
      <c r="B731" s="109"/>
    </row>
    <row r="732">
      <c r="B732" s="109"/>
    </row>
    <row r="733">
      <c r="B733" s="109"/>
    </row>
    <row r="734">
      <c r="B734" s="109"/>
    </row>
    <row r="735">
      <c r="B735" s="109"/>
    </row>
    <row r="736">
      <c r="B736" s="109"/>
    </row>
    <row r="737">
      <c r="B737" s="109"/>
    </row>
    <row r="738">
      <c r="B738" s="109"/>
    </row>
    <row r="739">
      <c r="B739" s="109"/>
    </row>
    <row r="740">
      <c r="B740" s="109"/>
    </row>
    <row r="741">
      <c r="B741" s="109"/>
    </row>
    <row r="742">
      <c r="B742" s="109"/>
    </row>
    <row r="743">
      <c r="B743" s="109"/>
    </row>
    <row r="744">
      <c r="B744" s="109"/>
    </row>
    <row r="745">
      <c r="B745" s="109"/>
    </row>
    <row r="746">
      <c r="B746" s="109"/>
    </row>
    <row r="747">
      <c r="B747" s="109"/>
    </row>
    <row r="748">
      <c r="B748" s="109"/>
    </row>
    <row r="749">
      <c r="B749" s="109"/>
    </row>
    <row r="750">
      <c r="B750" s="109"/>
    </row>
    <row r="751">
      <c r="B751" s="109"/>
    </row>
    <row r="752">
      <c r="B752" s="109"/>
    </row>
    <row r="753">
      <c r="B753" s="109"/>
    </row>
    <row r="754">
      <c r="B754" s="109"/>
    </row>
    <row r="755">
      <c r="B755" s="109"/>
    </row>
    <row r="756">
      <c r="B756" s="109"/>
    </row>
    <row r="757">
      <c r="B757" s="109"/>
    </row>
    <row r="758">
      <c r="B758" s="109"/>
    </row>
    <row r="759">
      <c r="B759" s="109"/>
    </row>
    <row r="760">
      <c r="B760" s="109"/>
    </row>
    <row r="761">
      <c r="B761" s="109"/>
    </row>
    <row r="762">
      <c r="B762" s="109"/>
    </row>
    <row r="763">
      <c r="B763" s="109"/>
    </row>
    <row r="764">
      <c r="B764" s="109"/>
    </row>
    <row r="765">
      <c r="B765" s="109"/>
    </row>
    <row r="766">
      <c r="B766" s="109"/>
    </row>
    <row r="767">
      <c r="B767" s="109"/>
    </row>
    <row r="768">
      <c r="B768" s="109"/>
    </row>
    <row r="769">
      <c r="B769" s="109"/>
    </row>
    <row r="770">
      <c r="B770" s="109"/>
    </row>
    <row r="771">
      <c r="B771" s="109"/>
    </row>
    <row r="772">
      <c r="B772" s="109"/>
    </row>
    <row r="773">
      <c r="B773" s="109"/>
    </row>
    <row r="774">
      <c r="B774" s="109"/>
    </row>
    <row r="775">
      <c r="B775" s="109"/>
    </row>
    <row r="776">
      <c r="B776" s="109"/>
    </row>
    <row r="777">
      <c r="B777" s="109"/>
    </row>
    <row r="778">
      <c r="B778" s="109"/>
    </row>
    <row r="779">
      <c r="B779" s="109"/>
    </row>
    <row r="780">
      <c r="B780" s="109"/>
    </row>
    <row r="781">
      <c r="B781" s="109"/>
    </row>
    <row r="782">
      <c r="B782" s="109"/>
    </row>
    <row r="783">
      <c r="B783" s="109"/>
    </row>
    <row r="784">
      <c r="B784" s="109"/>
    </row>
    <row r="785">
      <c r="B785" s="109"/>
    </row>
    <row r="786">
      <c r="B786" s="109"/>
    </row>
    <row r="787">
      <c r="B787" s="109"/>
    </row>
    <row r="788">
      <c r="B788" s="109"/>
    </row>
    <row r="789">
      <c r="B789" s="109"/>
    </row>
    <row r="790">
      <c r="B790" s="109"/>
    </row>
    <row r="791">
      <c r="B791" s="109"/>
    </row>
    <row r="792">
      <c r="B792" s="109"/>
    </row>
    <row r="793">
      <c r="B793" s="109"/>
    </row>
    <row r="794">
      <c r="B794" s="109"/>
    </row>
    <row r="795">
      <c r="B795" s="109"/>
    </row>
    <row r="796">
      <c r="B796" s="109"/>
    </row>
    <row r="797">
      <c r="B797" s="109"/>
    </row>
    <row r="798">
      <c r="B798" s="109"/>
    </row>
    <row r="799">
      <c r="B799" s="109"/>
    </row>
    <row r="800">
      <c r="B800" s="109"/>
    </row>
    <row r="801">
      <c r="B801" s="109"/>
    </row>
    <row r="802">
      <c r="B802" s="109"/>
    </row>
    <row r="803">
      <c r="B803" s="109"/>
    </row>
    <row r="804">
      <c r="B804" s="109"/>
    </row>
    <row r="805">
      <c r="B805" s="109"/>
    </row>
    <row r="806">
      <c r="B806" s="109"/>
    </row>
    <row r="807">
      <c r="B807" s="109"/>
    </row>
    <row r="808">
      <c r="B808" s="109"/>
    </row>
    <row r="809">
      <c r="B809" s="109"/>
    </row>
    <row r="810">
      <c r="B810" s="109"/>
    </row>
    <row r="811">
      <c r="B811" s="109"/>
    </row>
    <row r="812">
      <c r="B812" s="109"/>
    </row>
    <row r="813">
      <c r="B813" s="109"/>
    </row>
    <row r="814">
      <c r="B814" s="109"/>
    </row>
    <row r="815">
      <c r="B815" s="109"/>
    </row>
    <row r="816">
      <c r="B816" s="109"/>
    </row>
    <row r="817">
      <c r="B817" s="109"/>
    </row>
    <row r="818">
      <c r="B818" s="109"/>
    </row>
    <row r="819">
      <c r="B819" s="109"/>
    </row>
    <row r="820">
      <c r="B820" s="109"/>
    </row>
    <row r="821">
      <c r="B821" s="109"/>
    </row>
    <row r="822">
      <c r="B822" s="109"/>
    </row>
    <row r="823">
      <c r="B823" s="109"/>
    </row>
    <row r="824">
      <c r="B824" s="109"/>
    </row>
    <row r="825">
      <c r="B825" s="109"/>
    </row>
    <row r="826">
      <c r="B826" s="109"/>
    </row>
    <row r="827">
      <c r="B827" s="109"/>
    </row>
    <row r="828">
      <c r="B828" s="109"/>
    </row>
    <row r="829">
      <c r="B829" s="109"/>
    </row>
    <row r="830">
      <c r="B830" s="109"/>
    </row>
    <row r="831">
      <c r="B831" s="109"/>
    </row>
    <row r="832">
      <c r="B832" s="109"/>
    </row>
    <row r="833">
      <c r="B833" s="109"/>
    </row>
    <row r="834">
      <c r="B834" s="109"/>
    </row>
    <row r="835">
      <c r="B835" s="109"/>
    </row>
    <row r="836">
      <c r="B836" s="109"/>
    </row>
    <row r="837">
      <c r="B837" s="109"/>
    </row>
    <row r="838">
      <c r="B838" s="109"/>
    </row>
    <row r="839">
      <c r="B839" s="109"/>
    </row>
    <row r="840">
      <c r="B840" s="109"/>
    </row>
    <row r="841">
      <c r="B841" s="109"/>
    </row>
    <row r="842">
      <c r="B842" s="109"/>
    </row>
    <row r="843">
      <c r="B843" s="109"/>
    </row>
    <row r="844">
      <c r="B844" s="109"/>
    </row>
    <row r="845">
      <c r="B845" s="109"/>
    </row>
    <row r="846">
      <c r="B846" s="109"/>
    </row>
    <row r="847">
      <c r="B847" s="109"/>
    </row>
    <row r="848">
      <c r="B848" s="109"/>
    </row>
    <row r="849">
      <c r="B849" s="109"/>
    </row>
    <row r="850">
      <c r="B850" s="109"/>
    </row>
    <row r="851">
      <c r="B851" s="109"/>
    </row>
    <row r="852">
      <c r="B852" s="109"/>
    </row>
    <row r="853">
      <c r="B853" s="109"/>
    </row>
    <row r="854">
      <c r="B854" s="109"/>
    </row>
    <row r="855">
      <c r="B855" s="109"/>
    </row>
    <row r="856">
      <c r="B856" s="109"/>
    </row>
    <row r="857">
      <c r="B857" s="109"/>
    </row>
    <row r="858">
      <c r="B858" s="109"/>
    </row>
    <row r="859">
      <c r="B859" s="109"/>
    </row>
    <row r="860">
      <c r="B860" s="109"/>
    </row>
    <row r="861">
      <c r="B861" s="109"/>
    </row>
    <row r="862">
      <c r="B862" s="109"/>
    </row>
    <row r="863">
      <c r="B863" s="109"/>
    </row>
    <row r="864">
      <c r="B864" s="109"/>
    </row>
    <row r="865">
      <c r="B865" s="109"/>
    </row>
    <row r="866">
      <c r="B866" s="109"/>
    </row>
    <row r="867">
      <c r="B867" s="109"/>
    </row>
    <row r="868">
      <c r="B868" s="109"/>
    </row>
    <row r="869">
      <c r="B869" s="109"/>
    </row>
    <row r="870">
      <c r="B870" s="109"/>
    </row>
    <row r="871">
      <c r="B871" s="109"/>
    </row>
    <row r="872">
      <c r="B872" s="109"/>
    </row>
    <row r="873">
      <c r="B873" s="109"/>
    </row>
    <row r="874">
      <c r="B874" s="109"/>
    </row>
    <row r="875">
      <c r="B875" s="109"/>
    </row>
    <row r="876">
      <c r="B876" s="109"/>
    </row>
    <row r="877">
      <c r="B877" s="109"/>
    </row>
    <row r="878">
      <c r="B878" s="109"/>
    </row>
    <row r="879">
      <c r="B879" s="109"/>
    </row>
    <row r="880">
      <c r="B880" s="109"/>
    </row>
    <row r="881">
      <c r="B881" s="109"/>
    </row>
    <row r="882">
      <c r="B882" s="109"/>
    </row>
    <row r="883">
      <c r="B883" s="109"/>
    </row>
    <row r="884">
      <c r="B884" s="109"/>
    </row>
    <row r="885">
      <c r="B885" s="109"/>
    </row>
    <row r="886">
      <c r="B886" s="109"/>
    </row>
    <row r="887">
      <c r="B887" s="109"/>
    </row>
    <row r="888">
      <c r="B888" s="109"/>
    </row>
    <row r="889">
      <c r="B889" s="109"/>
    </row>
    <row r="890">
      <c r="B890" s="109"/>
    </row>
    <row r="891">
      <c r="B891" s="109"/>
    </row>
    <row r="892">
      <c r="B892" s="109"/>
    </row>
    <row r="893">
      <c r="B893" s="109"/>
    </row>
    <row r="894">
      <c r="B894" s="109"/>
    </row>
    <row r="895">
      <c r="B895" s="109"/>
    </row>
    <row r="896">
      <c r="B896" s="109"/>
    </row>
    <row r="897">
      <c r="B897" s="109"/>
    </row>
    <row r="898">
      <c r="B898" s="109"/>
    </row>
    <row r="899">
      <c r="B899" s="109"/>
    </row>
    <row r="900">
      <c r="B900" s="109"/>
    </row>
    <row r="901">
      <c r="B901" s="109"/>
    </row>
    <row r="902">
      <c r="B902" s="109"/>
    </row>
    <row r="903">
      <c r="B903" s="109"/>
    </row>
    <row r="904">
      <c r="B904" s="109"/>
    </row>
    <row r="905">
      <c r="B905" s="109"/>
    </row>
    <row r="906">
      <c r="B906" s="109"/>
    </row>
    <row r="907">
      <c r="B907" s="109"/>
    </row>
    <row r="908">
      <c r="B908" s="109"/>
    </row>
    <row r="909">
      <c r="B909" s="109"/>
    </row>
    <row r="910">
      <c r="B910" s="109"/>
    </row>
    <row r="911">
      <c r="B911" s="109"/>
    </row>
    <row r="912">
      <c r="B912" s="109"/>
    </row>
    <row r="913">
      <c r="B913" s="109"/>
    </row>
    <row r="914">
      <c r="B914" s="109"/>
    </row>
    <row r="915">
      <c r="B915" s="109"/>
    </row>
    <row r="916">
      <c r="B916" s="109"/>
    </row>
    <row r="917">
      <c r="B917" s="109"/>
    </row>
    <row r="918">
      <c r="B918" s="109"/>
    </row>
    <row r="919">
      <c r="B919" s="109"/>
    </row>
    <row r="920">
      <c r="B920" s="109"/>
    </row>
    <row r="921">
      <c r="B921" s="109"/>
    </row>
    <row r="922">
      <c r="B922" s="109"/>
    </row>
    <row r="923">
      <c r="B923" s="109"/>
    </row>
    <row r="924">
      <c r="B924" s="109"/>
    </row>
    <row r="925">
      <c r="B925" s="109"/>
    </row>
    <row r="926">
      <c r="B926" s="109"/>
    </row>
    <row r="927">
      <c r="B927" s="109"/>
    </row>
    <row r="928">
      <c r="B928" s="109"/>
    </row>
    <row r="929">
      <c r="B929" s="109"/>
    </row>
    <row r="930">
      <c r="B930" s="109"/>
    </row>
    <row r="931">
      <c r="B931" s="109"/>
    </row>
    <row r="932">
      <c r="B932" s="109"/>
    </row>
    <row r="933">
      <c r="B933" s="109"/>
    </row>
    <row r="934">
      <c r="B934" s="109"/>
    </row>
    <row r="935">
      <c r="B935" s="109"/>
    </row>
    <row r="936">
      <c r="B936" s="109"/>
    </row>
    <row r="937">
      <c r="B937" s="109"/>
    </row>
    <row r="938">
      <c r="B938" s="109"/>
    </row>
    <row r="939">
      <c r="B939" s="109"/>
    </row>
    <row r="940">
      <c r="B940" s="109"/>
    </row>
    <row r="941">
      <c r="B941" s="109"/>
    </row>
    <row r="942">
      <c r="B942" s="109"/>
    </row>
    <row r="943">
      <c r="B943" s="109"/>
    </row>
    <row r="944">
      <c r="B944" s="109"/>
    </row>
    <row r="945">
      <c r="B945" s="109"/>
    </row>
    <row r="946">
      <c r="B946" s="109"/>
    </row>
    <row r="947">
      <c r="B947" s="109"/>
    </row>
    <row r="948">
      <c r="B948" s="109"/>
    </row>
    <row r="949">
      <c r="B949" s="109"/>
    </row>
    <row r="950">
      <c r="B950" s="109"/>
    </row>
    <row r="951">
      <c r="B951" s="109"/>
    </row>
    <row r="952">
      <c r="B952" s="109"/>
    </row>
    <row r="953">
      <c r="B953" s="109"/>
    </row>
    <row r="954">
      <c r="B954" s="109"/>
    </row>
    <row r="955">
      <c r="B955" s="109"/>
    </row>
    <row r="956">
      <c r="B956" s="109"/>
    </row>
    <row r="957">
      <c r="B957" s="109"/>
    </row>
    <row r="958">
      <c r="B958" s="109"/>
    </row>
    <row r="959">
      <c r="B959" s="109"/>
    </row>
    <row r="960">
      <c r="B960" s="109"/>
    </row>
    <row r="961">
      <c r="B961" s="109"/>
    </row>
    <row r="962">
      <c r="B962" s="109"/>
    </row>
    <row r="963">
      <c r="B963" s="109"/>
    </row>
    <row r="964">
      <c r="B964" s="109"/>
    </row>
    <row r="965">
      <c r="B965" s="109"/>
    </row>
    <row r="966">
      <c r="B966" s="109"/>
    </row>
    <row r="967">
      <c r="B967" s="109"/>
    </row>
    <row r="968">
      <c r="B968" s="109"/>
    </row>
    <row r="969">
      <c r="B969" s="109"/>
    </row>
    <row r="970">
      <c r="B970" s="109"/>
    </row>
    <row r="971">
      <c r="B971" s="109"/>
    </row>
    <row r="972">
      <c r="B972" s="109"/>
    </row>
    <row r="973">
      <c r="B973" s="109"/>
    </row>
    <row r="974">
      <c r="B974" s="109"/>
    </row>
    <row r="975">
      <c r="B975" s="109"/>
    </row>
    <row r="976">
      <c r="B976" s="109"/>
    </row>
    <row r="977">
      <c r="B977" s="109"/>
    </row>
    <row r="978">
      <c r="B978" s="109"/>
    </row>
    <row r="979">
      <c r="B979" s="109"/>
    </row>
    <row r="980">
      <c r="B980" s="109"/>
    </row>
    <row r="981">
      <c r="B981" s="109"/>
    </row>
    <row r="982">
      <c r="B982" s="109"/>
    </row>
    <row r="983">
      <c r="B983" s="109"/>
    </row>
    <row r="984">
      <c r="B984" s="109"/>
    </row>
    <row r="985">
      <c r="B985" s="109"/>
    </row>
    <row r="986">
      <c r="B986" s="109"/>
    </row>
    <row r="987">
      <c r="B987" s="109"/>
    </row>
    <row r="988">
      <c r="B988" s="109"/>
    </row>
    <row r="989">
      <c r="B989" s="109"/>
    </row>
    <row r="990">
      <c r="B990" s="109"/>
    </row>
    <row r="991">
      <c r="B991" s="109"/>
    </row>
    <row r="992">
      <c r="B992" s="109"/>
    </row>
    <row r="993">
      <c r="B993" s="109"/>
    </row>
    <row r="994">
      <c r="B994" s="109"/>
    </row>
    <row r="995">
      <c r="B995" s="109"/>
    </row>
    <row r="996">
      <c r="B996" s="109"/>
    </row>
    <row r="997">
      <c r="B997" s="109"/>
    </row>
    <row r="998">
      <c r="B998" s="109"/>
    </row>
    <row r="999">
      <c r="B999" s="109"/>
    </row>
    <row r="1000">
      <c r="B1000" s="109"/>
    </row>
    <row r="1001">
      <c r="B1001" s="109"/>
    </row>
    <row r="1002">
      <c r="B1002" s="109"/>
    </row>
    <row r="1003">
      <c r="B1003" s="109"/>
    </row>
  </sheetData>
  <mergeCells count="31">
    <mergeCell ref="F3:F6"/>
    <mergeCell ref="E4:E5"/>
    <mergeCell ref="F7:F11"/>
    <mergeCell ref="G7:G11"/>
    <mergeCell ref="F12:F15"/>
    <mergeCell ref="G12:G15"/>
    <mergeCell ref="F16:F21"/>
    <mergeCell ref="G16:G21"/>
    <mergeCell ref="B1:K1"/>
    <mergeCell ref="H2:K2"/>
    <mergeCell ref="M2:S2"/>
    <mergeCell ref="U2:AA2"/>
    <mergeCell ref="AC2:AI2"/>
    <mergeCell ref="G3:G6"/>
    <mergeCell ref="H3:K3"/>
    <mergeCell ref="H6:K6"/>
    <mergeCell ref="H13:K14"/>
    <mergeCell ref="H15:K15"/>
    <mergeCell ref="H16:K16"/>
    <mergeCell ref="H17:K17"/>
    <mergeCell ref="H18:K18"/>
    <mergeCell ref="H19:K19"/>
    <mergeCell ref="H20:K20"/>
    <mergeCell ref="H21:K21"/>
    <mergeCell ref="H4:K4"/>
    <mergeCell ref="H5:K5"/>
    <mergeCell ref="H7:K7"/>
    <mergeCell ref="H8:K8"/>
    <mergeCell ref="H9:K10"/>
    <mergeCell ref="H11:K11"/>
    <mergeCell ref="H12:K12"/>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2.75"/>
  <cols>
    <col customWidth="1" min="1" max="1" width="11.5"/>
    <col customWidth="1" min="2" max="2" width="8.75"/>
    <col customWidth="1" min="3" max="3" width="7.88"/>
    <col customWidth="1" min="4" max="4" width="8.5"/>
    <col customWidth="1" min="5" max="5" width="9.0"/>
    <col customWidth="1" min="6" max="6" width="8.13"/>
    <col customWidth="1" min="7" max="8" width="11.5"/>
    <col customWidth="1" min="9" max="14" width="8.63"/>
    <col customWidth="1" min="15" max="15" width="7.13"/>
    <col customWidth="1" min="16" max="16" width="7.0"/>
    <col customWidth="1" min="17" max="17" width="6.0"/>
    <col customWidth="1" min="18" max="18" width="6.88"/>
    <col customWidth="1" min="19" max="19" width="5.5"/>
    <col customWidth="1" min="20" max="20" width="9.13"/>
    <col customWidth="1" min="21" max="21" width="6.88"/>
    <col customWidth="1" min="22" max="22" width="4.25"/>
    <col customWidth="1" min="23" max="23" width="7.13"/>
    <col customWidth="1" min="24" max="26" width="8.63"/>
  </cols>
  <sheetData>
    <row r="1">
      <c r="A1" s="4" t="s">
        <v>1</v>
      </c>
      <c r="B1" s="8"/>
      <c r="C1" s="8"/>
      <c r="D1" s="8"/>
      <c r="E1" s="8"/>
      <c r="F1" s="8"/>
      <c r="G1" s="8"/>
      <c r="H1" s="8"/>
      <c r="I1" s="8"/>
      <c r="J1" s="8"/>
      <c r="K1" s="8"/>
      <c r="L1" s="8"/>
      <c r="M1" s="8"/>
      <c r="N1" s="8"/>
      <c r="O1" s="8"/>
      <c r="P1" s="8"/>
      <c r="Q1" s="8"/>
      <c r="R1" s="8"/>
      <c r="S1" s="8"/>
      <c r="T1" s="8"/>
      <c r="U1" s="8"/>
      <c r="V1" s="8"/>
      <c r="W1" s="8"/>
      <c r="X1" s="8"/>
      <c r="Y1" s="8"/>
      <c r="Z1" s="13"/>
    </row>
    <row r="2">
      <c r="A2" s="14"/>
      <c r="B2" s="17" t="s">
        <v>10</v>
      </c>
      <c r="I2" s="17" t="s">
        <v>11</v>
      </c>
      <c r="P2" s="17" t="s">
        <v>14</v>
      </c>
      <c r="Z2" s="22"/>
    </row>
    <row r="3">
      <c r="A3" s="24"/>
      <c r="B3" s="17" t="s">
        <v>17</v>
      </c>
      <c r="C3" s="17" t="s">
        <v>18</v>
      </c>
      <c r="D3" s="17" t="s">
        <v>20</v>
      </c>
      <c r="E3" s="17" t="s">
        <v>21</v>
      </c>
      <c r="F3" s="17" t="s">
        <v>22</v>
      </c>
      <c r="I3" s="17" t="s">
        <v>17</v>
      </c>
      <c r="J3" s="17" t="s">
        <v>18</v>
      </c>
      <c r="K3" s="17" t="s">
        <v>20</v>
      </c>
      <c r="L3" s="17" t="s">
        <v>21</v>
      </c>
      <c r="M3" s="17" t="s">
        <v>22</v>
      </c>
      <c r="P3" s="17" t="s">
        <v>17</v>
      </c>
      <c r="Q3" s="17" t="s">
        <v>18</v>
      </c>
      <c r="R3" s="17" t="s">
        <v>20</v>
      </c>
      <c r="S3" s="17" t="s">
        <v>21</v>
      </c>
      <c r="T3" s="17" t="s">
        <v>22</v>
      </c>
      <c r="Z3" s="22"/>
    </row>
    <row r="4">
      <c r="A4" s="29">
        <v>0.3333333333333333</v>
      </c>
      <c r="B4" s="31" t="s">
        <v>25</v>
      </c>
      <c r="C4" s="33" t="s">
        <v>27</v>
      </c>
      <c r="D4" s="35" t="s">
        <v>28</v>
      </c>
      <c r="E4" s="33" t="s">
        <v>27</v>
      </c>
      <c r="F4" s="37" t="s">
        <v>30</v>
      </c>
      <c r="H4" s="39">
        <v>0.3333333333333333</v>
      </c>
      <c r="I4" s="41" t="s">
        <v>32</v>
      </c>
      <c r="J4" s="41" t="s">
        <v>33</v>
      </c>
      <c r="K4" s="41" t="s">
        <v>35</v>
      </c>
      <c r="L4" s="43" t="s">
        <v>37</v>
      </c>
      <c r="M4" s="37" t="s">
        <v>30</v>
      </c>
      <c r="O4" s="39">
        <v>0.3333333333333333</v>
      </c>
      <c r="P4" s="44" t="s">
        <v>44</v>
      </c>
      <c r="Q4" s="44" t="s">
        <v>44</v>
      </c>
      <c r="R4" s="33" t="s">
        <v>45</v>
      </c>
      <c r="S4" s="41" t="s">
        <v>35</v>
      </c>
      <c r="T4" s="37" t="s">
        <v>46</v>
      </c>
      <c r="Z4" s="22"/>
    </row>
    <row r="5" ht="12.75" customHeight="1">
      <c r="A5" s="29">
        <v>0.375</v>
      </c>
      <c r="B5" s="31" t="s">
        <v>25</v>
      </c>
      <c r="F5" s="33" t="s">
        <v>47</v>
      </c>
      <c r="H5" s="39">
        <v>0.375</v>
      </c>
      <c r="M5" s="35" t="s">
        <v>48</v>
      </c>
      <c r="O5" s="39">
        <v>0.375</v>
      </c>
      <c r="T5" s="41" t="s">
        <v>35</v>
      </c>
      <c r="Z5" s="22"/>
    </row>
    <row r="6">
      <c r="A6" s="29">
        <v>0.4166666666666667</v>
      </c>
      <c r="B6" s="31" t="s">
        <v>25</v>
      </c>
      <c r="C6" s="35" t="s">
        <v>48</v>
      </c>
      <c r="D6" s="43" t="s">
        <v>37</v>
      </c>
      <c r="E6" s="35" t="s">
        <v>48</v>
      </c>
      <c r="H6" s="39">
        <v>0.4166666666666667</v>
      </c>
      <c r="I6" s="44" t="s">
        <v>51</v>
      </c>
      <c r="J6" s="43" t="s">
        <v>37</v>
      </c>
      <c r="K6" s="35" t="s">
        <v>52</v>
      </c>
      <c r="L6" s="31" t="s">
        <v>25</v>
      </c>
      <c r="O6" s="39">
        <v>0.4166666666666667</v>
      </c>
      <c r="P6" s="33" t="s">
        <v>54</v>
      </c>
      <c r="Q6" s="31" t="s">
        <v>25</v>
      </c>
      <c r="R6" s="33" t="s">
        <v>55</v>
      </c>
      <c r="S6" s="33" t="s">
        <v>56</v>
      </c>
      <c r="Z6" s="22"/>
    </row>
    <row r="7" ht="15.75" customHeight="1">
      <c r="A7" s="29">
        <v>0.4791666666666667</v>
      </c>
      <c r="B7" s="33" t="s">
        <v>58</v>
      </c>
      <c r="F7" s="43" t="s">
        <v>37</v>
      </c>
      <c r="H7" s="39">
        <v>0.4791666666666667</v>
      </c>
      <c r="J7" s="44" t="s">
        <v>59</v>
      </c>
      <c r="L7" s="31" t="s">
        <v>25</v>
      </c>
      <c r="M7" s="44" t="s">
        <v>51</v>
      </c>
      <c r="O7" s="39">
        <v>0.4791666666666667</v>
      </c>
      <c r="Q7" s="31" t="s">
        <v>25</v>
      </c>
      <c r="S7" s="33" t="s">
        <v>54</v>
      </c>
      <c r="T7" s="33" t="s">
        <v>56</v>
      </c>
      <c r="Z7" s="22"/>
    </row>
    <row r="8" ht="25.5" customHeight="1">
      <c r="A8" s="29">
        <v>0.5208333333333334</v>
      </c>
      <c r="B8" s="43" t="s">
        <v>37</v>
      </c>
      <c r="C8" s="54" t="s">
        <v>62</v>
      </c>
      <c r="D8" s="31" t="s">
        <v>25</v>
      </c>
      <c r="E8" s="33" t="s">
        <v>63</v>
      </c>
      <c r="F8" s="33" t="s">
        <v>58</v>
      </c>
      <c r="H8" s="39">
        <v>0.5208333333333334</v>
      </c>
      <c r="I8" s="35" t="s">
        <v>48</v>
      </c>
      <c r="J8" s="31" t="s">
        <v>25</v>
      </c>
      <c r="K8" s="55" t="s">
        <v>66</v>
      </c>
      <c r="L8" s="31" t="s">
        <v>25</v>
      </c>
      <c r="O8" s="39">
        <v>0.5208333333333334</v>
      </c>
      <c r="P8" s="59" t="s">
        <v>68</v>
      </c>
      <c r="Q8" s="31" t="s">
        <v>25</v>
      </c>
      <c r="R8" s="41" t="s">
        <v>32</v>
      </c>
      <c r="Z8" s="22"/>
    </row>
    <row r="9">
      <c r="A9" s="61">
        <v>0.5625</v>
      </c>
      <c r="B9" s="16"/>
      <c r="C9" s="16"/>
      <c r="D9" s="16"/>
      <c r="E9" s="16"/>
      <c r="F9" s="63" t="s">
        <v>71</v>
      </c>
      <c r="G9" s="16"/>
      <c r="H9" s="64">
        <v>0.5625</v>
      </c>
      <c r="I9" s="16"/>
      <c r="J9" s="66" t="s">
        <v>25</v>
      </c>
      <c r="K9" s="67" t="s">
        <v>66</v>
      </c>
      <c r="L9" s="66" t="s">
        <v>25</v>
      </c>
      <c r="M9" s="68" t="s">
        <v>73</v>
      </c>
      <c r="N9" s="16"/>
      <c r="O9" s="64">
        <v>0.5625</v>
      </c>
      <c r="P9" s="66" t="s">
        <v>25</v>
      </c>
      <c r="Q9" s="66" t="s">
        <v>25</v>
      </c>
      <c r="R9" s="16"/>
      <c r="S9" s="66" t="s">
        <v>25</v>
      </c>
      <c r="T9" s="75" t="s">
        <v>76</v>
      </c>
      <c r="U9" s="16"/>
      <c r="V9" s="16"/>
      <c r="W9" s="16"/>
      <c r="X9" s="16"/>
      <c r="Y9" s="16"/>
      <c r="Z9" s="19"/>
    </row>
    <row r="10">
      <c r="A10" s="14"/>
      <c r="Z10" s="22"/>
    </row>
    <row r="11" hidden="1">
      <c r="A11" s="4" t="s">
        <v>79</v>
      </c>
      <c r="B11" s="8"/>
      <c r="C11" s="8"/>
      <c r="D11" s="8"/>
      <c r="E11" s="8"/>
      <c r="F11" s="8"/>
      <c r="G11" s="8"/>
      <c r="H11" s="8"/>
      <c r="I11" s="8"/>
      <c r="J11" s="8"/>
      <c r="K11" s="8"/>
      <c r="L11" s="8"/>
      <c r="M11" s="8"/>
      <c r="N11" s="8"/>
      <c r="O11" s="8"/>
      <c r="P11" s="8"/>
      <c r="Q11" s="8"/>
      <c r="R11" s="8"/>
      <c r="S11" s="8"/>
      <c r="T11" s="8"/>
      <c r="U11" s="8"/>
      <c r="V11" s="8"/>
      <c r="W11" s="8"/>
      <c r="X11" s="8"/>
      <c r="Y11" s="8"/>
      <c r="Z11" s="13"/>
    </row>
    <row r="12" hidden="1">
      <c r="A12" s="14"/>
      <c r="B12" s="17" t="s">
        <v>10</v>
      </c>
      <c r="I12" s="17" t="s">
        <v>11</v>
      </c>
      <c r="P12" s="17" t="s">
        <v>14</v>
      </c>
      <c r="Z12" s="22"/>
    </row>
    <row r="13" hidden="1">
      <c r="A13" s="24"/>
      <c r="B13" s="17" t="s">
        <v>17</v>
      </c>
      <c r="C13" s="17" t="s">
        <v>18</v>
      </c>
      <c r="D13" s="17" t="s">
        <v>20</v>
      </c>
      <c r="E13" s="17" t="s">
        <v>21</v>
      </c>
      <c r="F13" s="17" t="s">
        <v>22</v>
      </c>
      <c r="I13" s="17" t="s">
        <v>17</v>
      </c>
      <c r="J13" s="17" t="s">
        <v>18</v>
      </c>
      <c r="K13" s="17" t="s">
        <v>20</v>
      </c>
      <c r="L13" s="17" t="s">
        <v>21</v>
      </c>
      <c r="M13" s="17" t="s">
        <v>22</v>
      </c>
      <c r="P13" s="17" t="s">
        <v>17</v>
      </c>
      <c r="Q13" s="17" t="s">
        <v>18</v>
      </c>
      <c r="R13" s="17" t="s">
        <v>20</v>
      </c>
      <c r="S13" s="17" t="s">
        <v>21</v>
      </c>
      <c r="T13" s="17" t="s">
        <v>22</v>
      </c>
      <c r="Z13" s="22"/>
    </row>
    <row r="14" hidden="1">
      <c r="A14" s="29">
        <v>0.3333333333333333</v>
      </c>
      <c r="B14" s="31" t="s">
        <v>25</v>
      </c>
      <c r="C14" s="33" t="s">
        <v>27</v>
      </c>
      <c r="D14" s="41" t="s">
        <v>35</v>
      </c>
      <c r="F14" s="37" t="s">
        <v>30</v>
      </c>
      <c r="H14" s="39">
        <v>0.3333333333333333</v>
      </c>
      <c r="I14" s="44" t="s">
        <v>44</v>
      </c>
      <c r="J14" s="44" t="s">
        <v>44</v>
      </c>
      <c r="K14" s="35" t="s">
        <v>28</v>
      </c>
      <c r="L14" s="43" t="s">
        <v>37</v>
      </c>
      <c r="M14" s="37" t="s">
        <v>30</v>
      </c>
      <c r="O14" s="39">
        <v>0.3333333333333333</v>
      </c>
      <c r="P14" s="41" t="s">
        <v>32</v>
      </c>
      <c r="Q14" s="41" t="s">
        <v>33</v>
      </c>
      <c r="R14" s="33" t="s">
        <v>45</v>
      </c>
      <c r="S14" s="41" t="s">
        <v>35</v>
      </c>
      <c r="T14" s="37" t="s">
        <v>46</v>
      </c>
      <c r="Z14" s="22"/>
    </row>
    <row r="15" ht="15.75" hidden="1" customHeight="1">
      <c r="A15" s="29">
        <v>0.375</v>
      </c>
      <c r="B15" s="31" t="s">
        <v>25</v>
      </c>
      <c r="E15" s="33" t="s">
        <v>100</v>
      </c>
      <c r="F15" s="33" t="s">
        <v>47</v>
      </c>
      <c r="H15" s="39">
        <v>0.375</v>
      </c>
      <c r="M15" s="35" t="s">
        <v>48</v>
      </c>
      <c r="O15" s="39">
        <v>0.375</v>
      </c>
      <c r="T15" s="41" t="s">
        <v>35</v>
      </c>
      <c r="Z15" s="22"/>
    </row>
    <row r="16" hidden="1">
      <c r="A16" s="29">
        <v>0.4166666666666667</v>
      </c>
      <c r="B16" s="31" t="s">
        <v>25</v>
      </c>
      <c r="C16" s="43" t="s">
        <v>37</v>
      </c>
      <c r="D16" s="43" t="s">
        <v>37</v>
      </c>
      <c r="E16" s="92" t="s">
        <v>112</v>
      </c>
      <c r="H16" s="39">
        <v>0.4166666666666667</v>
      </c>
      <c r="I16" s="44" t="s">
        <v>51</v>
      </c>
      <c r="J16" s="35" t="s">
        <v>48</v>
      </c>
      <c r="K16" s="35" t="s">
        <v>52</v>
      </c>
      <c r="L16" s="35" t="s">
        <v>48</v>
      </c>
      <c r="O16" s="39">
        <v>0.4166666666666667</v>
      </c>
      <c r="P16" s="33" t="s">
        <v>54</v>
      </c>
      <c r="Q16" s="31" t="s">
        <v>25</v>
      </c>
      <c r="R16" s="33" t="s">
        <v>55</v>
      </c>
      <c r="S16" s="33" t="s">
        <v>56</v>
      </c>
      <c r="Z16" s="22"/>
    </row>
    <row r="17" hidden="1">
      <c r="A17" s="29">
        <v>0.4791666666666667</v>
      </c>
      <c r="B17" s="33" t="s">
        <v>58</v>
      </c>
      <c r="C17" s="35" t="s">
        <v>48</v>
      </c>
      <c r="E17" s="54" t="s">
        <v>62</v>
      </c>
      <c r="F17" s="43" t="s">
        <v>37</v>
      </c>
      <c r="H17" s="39">
        <v>0.4791666666666667</v>
      </c>
      <c r="J17" s="44" t="s">
        <v>59</v>
      </c>
      <c r="M17" s="44" t="s">
        <v>51</v>
      </c>
      <c r="O17" s="39">
        <v>0.4791666666666667</v>
      </c>
      <c r="Q17" s="31" t="s">
        <v>25</v>
      </c>
      <c r="S17" s="33" t="s">
        <v>54</v>
      </c>
      <c r="T17" s="33" t="s">
        <v>56</v>
      </c>
      <c r="Z17" s="22"/>
    </row>
    <row r="18" ht="34.5" hidden="1" customHeight="1">
      <c r="A18" s="29">
        <v>0.5208333333333334</v>
      </c>
      <c r="B18" s="43" t="s">
        <v>37</v>
      </c>
      <c r="D18" s="55" t="s">
        <v>66</v>
      </c>
      <c r="E18" s="33" t="s">
        <v>63</v>
      </c>
      <c r="F18" s="33" t="s">
        <v>58</v>
      </c>
      <c r="H18" s="39">
        <v>0.5208333333333334</v>
      </c>
      <c r="I18" s="35" t="s">
        <v>48</v>
      </c>
      <c r="J18" s="31" t="s">
        <v>25</v>
      </c>
      <c r="L18" s="31" t="s">
        <v>25</v>
      </c>
      <c r="O18" s="39">
        <v>0.5208333333333334</v>
      </c>
      <c r="P18" s="59" t="s">
        <v>68</v>
      </c>
      <c r="Q18" s="31" t="s">
        <v>25</v>
      </c>
      <c r="R18" s="41" t="s">
        <v>32</v>
      </c>
      <c r="Z18" s="22"/>
    </row>
    <row r="19" hidden="1">
      <c r="A19" s="61">
        <v>0.5625</v>
      </c>
      <c r="B19" s="16"/>
      <c r="C19" s="16"/>
      <c r="D19" s="67" t="s">
        <v>66</v>
      </c>
      <c r="E19" s="101" t="s">
        <v>63</v>
      </c>
      <c r="F19" s="63" t="s">
        <v>71</v>
      </c>
      <c r="G19" s="16"/>
      <c r="H19" s="64">
        <v>0.5625</v>
      </c>
      <c r="I19" s="16"/>
      <c r="J19" s="66" t="s">
        <v>25</v>
      </c>
      <c r="K19" s="16"/>
      <c r="L19" s="66" t="s">
        <v>25</v>
      </c>
      <c r="M19" s="68" t="s">
        <v>73</v>
      </c>
      <c r="N19" s="16"/>
      <c r="O19" s="64">
        <v>0.5625</v>
      </c>
      <c r="P19" s="66" t="s">
        <v>25</v>
      </c>
      <c r="Q19" s="66" t="s">
        <v>25</v>
      </c>
      <c r="R19" s="16"/>
      <c r="S19" s="66" t="s">
        <v>25</v>
      </c>
      <c r="T19" s="75" t="s">
        <v>76</v>
      </c>
      <c r="U19" s="16"/>
      <c r="V19" s="16"/>
      <c r="W19" s="16"/>
      <c r="X19" s="16"/>
      <c r="Y19" s="16"/>
      <c r="Z19" s="19"/>
    </row>
    <row r="20" hidden="1"/>
    <row r="21">
      <c r="A21" s="4" t="s">
        <v>123</v>
      </c>
      <c r="B21" s="8"/>
      <c r="C21" s="8"/>
      <c r="D21" s="8"/>
      <c r="E21" s="8"/>
      <c r="F21" s="8"/>
      <c r="G21" s="8"/>
      <c r="H21" s="8"/>
      <c r="I21" s="8"/>
      <c r="J21" s="8"/>
      <c r="K21" s="8"/>
      <c r="L21" s="8"/>
      <c r="M21" s="8"/>
      <c r="N21" s="8"/>
      <c r="O21" s="8"/>
      <c r="P21" s="8"/>
      <c r="Q21" s="8"/>
      <c r="R21" s="8"/>
      <c r="S21" s="8"/>
      <c r="T21" s="8"/>
      <c r="U21" s="8"/>
      <c r="V21" s="8"/>
      <c r="W21" s="8"/>
      <c r="X21" s="8"/>
      <c r="Y21" s="8"/>
      <c r="Z21" s="13"/>
    </row>
    <row r="22">
      <c r="A22" s="14"/>
      <c r="B22" s="17" t="s">
        <v>10</v>
      </c>
      <c r="I22" s="17" t="s">
        <v>11</v>
      </c>
      <c r="P22" s="17" t="s">
        <v>14</v>
      </c>
      <c r="Z22" s="22"/>
    </row>
    <row r="23">
      <c r="A23" s="24"/>
      <c r="B23" s="17" t="s">
        <v>17</v>
      </c>
      <c r="C23" s="17" t="s">
        <v>18</v>
      </c>
      <c r="D23" s="17" t="s">
        <v>20</v>
      </c>
      <c r="E23" s="17" t="s">
        <v>21</v>
      </c>
      <c r="F23" s="17" t="s">
        <v>22</v>
      </c>
      <c r="I23" s="17" t="s">
        <v>17</v>
      </c>
      <c r="J23" s="17" t="s">
        <v>18</v>
      </c>
      <c r="K23" s="17" t="s">
        <v>20</v>
      </c>
      <c r="L23" s="17" t="s">
        <v>21</v>
      </c>
      <c r="M23" s="17" t="s">
        <v>22</v>
      </c>
      <c r="P23" s="17" t="s">
        <v>17</v>
      </c>
      <c r="Q23" s="17" t="s">
        <v>18</v>
      </c>
      <c r="R23" s="17" t="s">
        <v>20</v>
      </c>
      <c r="S23" s="17" t="s">
        <v>21</v>
      </c>
      <c r="T23" s="17" t="s">
        <v>22</v>
      </c>
      <c r="Z23" s="22"/>
    </row>
    <row r="24">
      <c r="A24" s="29">
        <v>0.3333333333333333</v>
      </c>
      <c r="B24" s="31" t="s">
        <v>25</v>
      </c>
      <c r="C24" s="33" t="s">
        <v>27</v>
      </c>
      <c r="D24" s="41" t="s">
        <v>32</v>
      </c>
      <c r="E24" s="92" t="s">
        <v>134</v>
      </c>
      <c r="F24" s="37" t="s">
        <v>30</v>
      </c>
      <c r="H24" s="39">
        <v>0.3333333333333333</v>
      </c>
      <c r="I24" s="44" t="s">
        <v>59</v>
      </c>
      <c r="J24" s="44" t="s">
        <v>59</v>
      </c>
      <c r="K24" s="35" t="s">
        <v>28</v>
      </c>
      <c r="L24" s="43" t="s">
        <v>37</v>
      </c>
      <c r="M24" s="37" t="s">
        <v>30</v>
      </c>
      <c r="O24" s="39">
        <v>0.3333333333333333</v>
      </c>
      <c r="P24" s="41" t="s">
        <v>35</v>
      </c>
      <c r="Q24" s="41" t="s">
        <v>35</v>
      </c>
      <c r="R24" s="33" t="s">
        <v>54</v>
      </c>
      <c r="S24" s="41" t="s">
        <v>35</v>
      </c>
      <c r="T24" s="37" t="s">
        <v>46</v>
      </c>
      <c r="Z24" s="22"/>
    </row>
    <row r="25" ht="15.75" customHeight="1">
      <c r="A25" s="29">
        <v>0.375</v>
      </c>
      <c r="B25" s="31" t="s">
        <v>25</v>
      </c>
      <c r="E25" s="33" t="s">
        <v>138</v>
      </c>
      <c r="F25" s="33" t="s">
        <v>27</v>
      </c>
      <c r="H25" s="39">
        <v>0.375</v>
      </c>
      <c r="M25" s="35" t="s">
        <v>28</v>
      </c>
      <c r="O25" s="39">
        <v>0.375</v>
      </c>
      <c r="T25" s="41" t="s">
        <v>35</v>
      </c>
      <c r="Z25" s="22"/>
    </row>
    <row r="26">
      <c r="A26" s="29">
        <v>0.4166666666666667</v>
      </c>
      <c r="B26" s="31" t="s">
        <v>25</v>
      </c>
      <c r="C26" s="35" t="s">
        <v>48</v>
      </c>
      <c r="D26" s="35" t="s">
        <v>48</v>
      </c>
      <c r="E26" s="35" t="s">
        <v>48</v>
      </c>
      <c r="H26" s="39">
        <v>0.4166666666666667</v>
      </c>
      <c r="I26" s="44" t="s">
        <v>59</v>
      </c>
      <c r="J26" s="43" t="s">
        <v>37</v>
      </c>
      <c r="K26" s="43" t="s">
        <v>37</v>
      </c>
      <c r="O26" s="39">
        <v>0.4166666666666667</v>
      </c>
      <c r="P26" s="33" t="s">
        <v>54</v>
      </c>
      <c r="Q26" s="31" t="s">
        <v>25</v>
      </c>
      <c r="R26" s="33" t="s">
        <v>56</v>
      </c>
      <c r="S26" s="33" t="s">
        <v>56</v>
      </c>
      <c r="Z26" s="22"/>
    </row>
    <row r="27">
      <c r="A27" s="29">
        <v>0.4791666666666667</v>
      </c>
      <c r="B27" s="33" t="s">
        <v>142</v>
      </c>
      <c r="C27" s="35" t="s">
        <v>48</v>
      </c>
      <c r="F27" s="43" t="s">
        <v>143</v>
      </c>
      <c r="H27" s="39">
        <v>0.4791666666666667</v>
      </c>
      <c r="J27" s="44" t="s">
        <v>59</v>
      </c>
      <c r="M27" s="44" t="s">
        <v>59</v>
      </c>
      <c r="O27" s="39">
        <v>0.4791666666666667</v>
      </c>
      <c r="Q27" s="31" t="s">
        <v>25</v>
      </c>
      <c r="S27" s="33" t="s">
        <v>54</v>
      </c>
      <c r="T27" s="33" t="s">
        <v>56</v>
      </c>
      <c r="Z27" s="22"/>
    </row>
    <row r="28" ht="34.5" customHeight="1">
      <c r="A28" s="29">
        <v>0.5208333333333334</v>
      </c>
      <c r="B28" s="35" t="s">
        <v>48</v>
      </c>
      <c r="C28" s="54" t="s">
        <v>146</v>
      </c>
      <c r="E28" s="33" t="s">
        <v>63</v>
      </c>
      <c r="F28" s="33" t="s">
        <v>63</v>
      </c>
      <c r="H28" s="39">
        <v>0.5208333333333334</v>
      </c>
      <c r="I28" s="43" t="s">
        <v>37</v>
      </c>
      <c r="J28" s="31" t="s">
        <v>25</v>
      </c>
      <c r="K28" s="43" t="s">
        <v>37</v>
      </c>
      <c r="L28" s="31" t="s">
        <v>25</v>
      </c>
      <c r="O28" s="39">
        <v>0.5208333333333334</v>
      </c>
      <c r="P28" s="118" t="s">
        <v>149</v>
      </c>
      <c r="Q28" s="31" t="s">
        <v>25</v>
      </c>
      <c r="R28" s="41" t="s">
        <v>35</v>
      </c>
      <c r="Z28" s="22"/>
    </row>
    <row r="29">
      <c r="A29" s="61">
        <v>0.5625</v>
      </c>
      <c r="B29" s="16"/>
      <c r="C29" s="16"/>
      <c r="E29" s="101" t="s">
        <v>63</v>
      </c>
      <c r="F29" s="101" t="s">
        <v>151</v>
      </c>
      <c r="G29" s="16"/>
      <c r="H29" s="64">
        <v>0.5625</v>
      </c>
      <c r="I29" s="16"/>
      <c r="J29" s="66" t="s">
        <v>25</v>
      </c>
      <c r="K29" s="67" t="s">
        <v>37</v>
      </c>
      <c r="L29" s="66" t="s">
        <v>25</v>
      </c>
      <c r="M29" s="68" t="s">
        <v>154</v>
      </c>
      <c r="N29" s="16"/>
      <c r="O29" s="64">
        <v>0.5625</v>
      </c>
      <c r="P29" s="66" t="s">
        <v>25</v>
      </c>
      <c r="Q29" s="66" t="s">
        <v>25</v>
      </c>
      <c r="R29" s="16"/>
      <c r="S29" s="66" t="s">
        <v>25</v>
      </c>
      <c r="T29" s="75" t="s">
        <v>44</v>
      </c>
      <c r="U29" s="16"/>
      <c r="V29" s="16"/>
      <c r="W29" s="16"/>
      <c r="X29" s="16"/>
      <c r="Y29" s="16"/>
      <c r="Z29" s="19"/>
    </row>
    <row r="30" ht="25.5" hidden="1" customHeight="1"/>
    <row r="31" ht="25.5" hidden="1" customHeight="1">
      <c r="P31" s="103" t="s">
        <v>156</v>
      </c>
      <c r="R31" s="103" t="s">
        <v>157</v>
      </c>
      <c r="V31" s="31" t="s">
        <v>158</v>
      </c>
      <c r="W31" s="31" t="s">
        <v>159</v>
      </c>
      <c r="X31" s="31" t="s">
        <v>160</v>
      </c>
    </row>
    <row r="32" ht="25.5" hidden="1" customHeight="1">
      <c r="A32" s="121"/>
      <c r="C32" s="122"/>
      <c r="D32" s="123"/>
      <c r="O32" s="33" t="s">
        <v>162</v>
      </c>
      <c r="P32" s="31">
        <v>13.0</v>
      </c>
      <c r="Q32" s="122">
        <f t="shared" ref="Q32:Q39" si="1">P32*$P$42/$P$43</f>
        <v>3.058823529</v>
      </c>
      <c r="R32" s="129">
        <f t="shared" ref="R32:R34" si="2">ROUND(Q32,0)</f>
        <v>3</v>
      </c>
      <c r="V32" s="31">
        <v>4.0</v>
      </c>
      <c r="W32" s="31">
        <v>6.0</v>
      </c>
      <c r="X32" s="31">
        <v>6.0</v>
      </c>
    </row>
    <row r="33" ht="25.5" hidden="1" customHeight="1">
      <c r="A33" s="121"/>
      <c r="C33" s="122"/>
      <c r="D33" s="123"/>
      <c r="O33" s="131" t="s">
        <v>167</v>
      </c>
      <c r="P33" s="31">
        <v>13.0</v>
      </c>
      <c r="Q33" s="122">
        <f t="shared" si="1"/>
        <v>3.058823529</v>
      </c>
      <c r="R33" s="129">
        <f t="shared" si="2"/>
        <v>3</v>
      </c>
      <c r="U33" s="31" t="s">
        <v>170</v>
      </c>
      <c r="V33" s="31">
        <v>6.0</v>
      </c>
      <c r="W33" s="31">
        <v>4.0</v>
      </c>
      <c r="X33" s="31">
        <v>6.0</v>
      </c>
    </row>
    <row r="34" hidden="1">
      <c r="A34" s="121"/>
      <c r="C34" s="122"/>
      <c r="D34" s="123"/>
      <c r="O34" s="134" t="s">
        <v>171</v>
      </c>
      <c r="P34" s="31">
        <v>10.0</v>
      </c>
      <c r="Q34" s="122">
        <f t="shared" si="1"/>
        <v>2.352941176</v>
      </c>
      <c r="R34" s="129">
        <f t="shared" si="2"/>
        <v>2</v>
      </c>
    </row>
    <row r="35" hidden="1">
      <c r="A35" s="121"/>
      <c r="C35" s="122"/>
      <c r="D35" s="123"/>
      <c r="O35" s="135" t="s">
        <v>172</v>
      </c>
      <c r="P35" s="31">
        <v>10.0</v>
      </c>
      <c r="Q35" s="122">
        <f t="shared" si="1"/>
        <v>2.352941176</v>
      </c>
      <c r="R35" s="137">
        <v>2.0</v>
      </c>
      <c r="S35" s="31" t="s">
        <v>173</v>
      </c>
    </row>
    <row r="36" hidden="1">
      <c r="A36" s="121"/>
      <c r="C36" s="122"/>
      <c r="D36" s="123"/>
      <c r="O36" s="138" t="s">
        <v>112</v>
      </c>
      <c r="P36" s="31">
        <v>6.0</v>
      </c>
      <c r="Q36" s="122">
        <f t="shared" si="1"/>
        <v>1.411764706</v>
      </c>
      <c r="R36" s="129">
        <f t="shared" ref="R36:R39" si="3">ROUND(Q36,0)</f>
        <v>1</v>
      </c>
      <c r="S36" s="31" t="s">
        <v>173</v>
      </c>
    </row>
    <row r="37" hidden="1">
      <c r="A37" s="121"/>
      <c r="C37" s="122"/>
      <c r="D37" s="123"/>
      <c r="O37" s="140" t="s">
        <v>174</v>
      </c>
      <c r="P37" s="31">
        <v>6.0</v>
      </c>
      <c r="Q37" s="122">
        <f t="shared" si="1"/>
        <v>1.411764706</v>
      </c>
      <c r="R37" s="129">
        <f t="shared" si="3"/>
        <v>1</v>
      </c>
      <c r="S37" s="31" t="s">
        <v>173</v>
      </c>
    </row>
    <row r="38" hidden="1">
      <c r="A38" s="121"/>
      <c r="C38" s="122"/>
      <c r="D38" s="123"/>
      <c r="O38" s="141" t="s">
        <v>175</v>
      </c>
      <c r="P38" s="31">
        <v>5.0</v>
      </c>
      <c r="Q38" s="122">
        <f t="shared" si="1"/>
        <v>1.176470588</v>
      </c>
      <c r="R38" s="129">
        <f t="shared" si="3"/>
        <v>1</v>
      </c>
    </row>
    <row r="39" hidden="1">
      <c r="A39" s="121"/>
      <c r="C39" s="122"/>
      <c r="D39" s="123"/>
      <c r="F39" s="121"/>
      <c r="O39" s="142" t="s">
        <v>176</v>
      </c>
      <c r="P39" s="31">
        <v>5.0</v>
      </c>
      <c r="Q39" s="122">
        <f t="shared" si="1"/>
        <v>1.176470588</v>
      </c>
      <c r="R39" s="129">
        <f t="shared" si="3"/>
        <v>1</v>
      </c>
    </row>
    <row r="40" hidden="1">
      <c r="F40" s="121"/>
      <c r="R40">
        <f>SUM(R31:R39)</f>
        <v>14</v>
      </c>
    </row>
    <row r="41" hidden="1"/>
    <row r="42" hidden="1">
      <c r="A42" s="121"/>
      <c r="F42" s="31"/>
      <c r="O42" s="144" t="s">
        <v>177</v>
      </c>
      <c r="P42" s="31">
        <v>16.0</v>
      </c>
    </row>
    <row r="43" hidden="1">
      <c r="F43" s="31"/>
      <c r="O43" s="31" t="s">
        <v>178</v>
      </c>
      <c r="P43">
        <f>SUM(P32:P39)</f>
        <v>68</v>
      </c>
    </row>
    <row r="44" hidden="1">
      <c r="A44" s="145"/>
      <c r="C44" s="146"/>
      <c r="D44" s="121"/>
      <c r="F44" s="31"/>
    </row>
    <row r="45" hidden="1"/>
    <row r="46" hidden="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hidden="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hidden="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hidden="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hidden="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hidden="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hidden="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hidden="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row r="62"/>
    <row r="63" hidden="1"/>
    <row r="64" hidden="1"/>
    <row r="65" hidden="1"/>
    <row r="66" hidden="1"/>
    <row r="67" hidden="1"/>
    <row r="68" hidden="1"/>
    <row r="69" hidden="1"/>
    <row r="70" hidden="1"/>
    <row r="71" hidden="1"/>
    <row r="72" hidden="1"/>
    <row r="73" hidden="1">
      <c r="A73" s="148">
        <v>8.0</v>
      </c>
      <c r="B73" s="149"/>
      <c r="C73" s="55" t="s">
        <v>162</v>
      </c>
      <c r="D73" s="37" t="s">
        <v>171</v>
      </c>
      <c r="E73" s="150" t="s">
        <v>179</v>
      </c>
      <c r="F73" s="55" t="s">
        <v>162</v>
      </c>
      <c r="H73" s="148">
        <v>8.0</v>
      </c>
      <c r="I73" s="151" t="s">
        <v>167</v>
      </c>
      <c r="J73" s="41" t="s">
        <v>180</v>
      </c>
      <c r="K73" s="55" t="s">
        <v>162</v>
      </c>
      <c r="L73" s="150" t="s">
        <v>179</v>
      </c>
      <c r="M73" s="151" t="s">
        <v>167</v>
      </c>
      <c r="O73" s="31" t="s">
        <v>181</v>
      </c>
      <c r="P73" s="31" t="s">
        <v>182</v>
      </c>
      <c r="Q73" s="31" t="s">
        <v>183</v>
      </c>
      <c r="R73" s="31" t="s">
        <v>184</v>
      </c>
    </row>
    <row r="74" hidden="1">
      <c r="A74" s="152">
        <v>9.0</v>
      </c>
      <c r="B74" s="55" t="s">
        <v>162</v>
      </c>
      <c r="C74" s="55" t="s">
        <v>162</v>
      </c>
      <c r="D74" s="37" t="s">
        <v>171</v>
      </c>
      <c r="E74" s="55" t="s">
        <v>162</v>
      </c>
      <c r="F74" s="55" t="s">
        <v>162</v>
      </c>
      <c r="H74" s="152">
        <v>9.0</v>
      </c>
      <c r="I74" s="54" t="s">
        <v>167</v>
      </c>
      <c r="J74" s="41" t="s">
        <v>180</v>
      </c>
      <c r="K74" s="55" t="s">
        <v>162</v>
      </c>
      <c r="L74" s="153" t="s">
        <v>185</v>
      </c>
      <c r="M74" s="54" t="s">
        <v>167</v>
      </c>
    </row>
    <row r="75" hidden="1">
      <c r="A75" s="152">
        <v>10.0</v>
      </c>
      <c r="B75" s="44" t="s">
        <v>186</v>
      </c>
      <c r="C75" s="44" t="s">
        <v>186</v>
      </c>
      <c r="D75" s="37" t="s">
        <v>171</v>
      </c>
      <c r="E75" s="55" t="s">
        <v>162</v>
      </c>
      <c r="F75" s="37" t="s">
        <v>171</v>
      </c>
      <c r="H75" s="152">
        <v>10.0</v>
      </c>
      <c r="I75" s="55" t="s">
        <v>162</v>
      </c>
      <c r="J75" s="37" t="s">
        <v>171</v>
      </c>
      <c r="K75" s="153" t="s">
        <v>185</v>
      </c>
      <c r="L75" s="153" t="s">
        <v>185</v>
      </c>
      <c r="M75" s="154" t="s">
        <v>187</v>
      </c>
      <c r="O75" s="31" t="s">
        <v>171</v>
      </c>
      <c r="P75" s="31" t="s">
        <v>188</v>
      </c>
      <c r="Q75" s="31" t="s">
        <v>189</v>
      </c>
      <c r="R75" s="37" t="s">
        <v>100</v>
      </c>
    </row>
    <row r="76" hidden="1">
      <c r="A76" s="156">
        <v>0.4791666666666667</v>
      </c>
      <c r="B76" s="44" t="s">
        <v>186</v>
      </c>
      <c r="C76" s="37" t="s">
        <v>171</v>
      </c>
      <c r="D76" s="37" t="s">
        <v>171</v>
      </c>
      <c r="E76" s="154" t="s">
        <v>187</v>
      </c>
      <c r="F76" s="37" t="s">
        <v>171</v>
      </c>
      <c r="H76" s="156">
        <v>0.4791666666666667</v>
      </c>
      <c r="I76" s="153" t="s">
        <v>185</v>
      </c>
      <c r="K76" s="153" t="s">
        <v>185</v>
      </c>
      <c r="L76" s="153" t="s">
        <v>185</v>
      </c>
      <c r="M76" s="41" t="s">
        <v>180</v>
      </c>
      <c r="O76" s="31" t="s">
        <v>185</v>
      </c>
      <c r="P76" s="31" t="s">
        <v>190</v>
      </c>
      <c r="Q76" s="37" t="s">
        <v>100</v>
      </c>
    </row>
    <row r="77" hidden="1">
      <c r="A77" s="156">
        <v>0.5208333333333334</v>
      </c>
      <c r="F77" s="37" t="s">
        <v>171</v>
      </c>
      <c r="H77" s="156">
        <v>0.5208333333333334</v>
      </c>
      <c r="I77" s="153" t="s">
        <v>185</v>
      </c>
      <c r="K77" s="151" t="s">
        <v>167</v>
      </c>
      <c r="L77" s="153" t="s">
        <v>185</v>
      </c>
      <c r="M77" s="153" t="s">
        <v>185</v>
      </c>
      <c r="O77" s="31" t="s">
        <v>191</v>
      </c>
      <c r="P77" s="31" t="s">
        <v>100</v>
      </c>
    </row>
    <row r="78" hidden="1">
      <c r="A78" s="61">
        <v>0.5625</v>
      </c>
      <c r="B78" s="16"/>
      <c r="C78" s="157"/>
      <c r="D78" s="158"/>
      <c r="E78" s="16"/>
      <c r="F78" s="37" t="s">
        <v>171</v>
      </c>
      <c r="H78" s="61">
        <v>0.5625</v>
      </c>
      <c r="I78" s="153" t="s">
        <v>185</v>
      </c>
      <c r="J78" s="157"/>
      <c r="K78" s="54" t="s">
        <v>167</v>
      </c>
      <c r="L78" s="16"/>
      <c r="M78" s="153" t="s">
        <v>185</v>
      </c>
    </row>
    <row r="79" hidden="1"/>
    <row r="80" hidden="1">
      <c r="V80" s="31" t="s">
        <v>192</v>
      </c>
      <c r="W80" s="31" t="s">
        <v>193</v>
      </c>
      <c r="X80" s="159" t="s">
        <v>194</v>
      </c>
      <c r="Y80" s="31" t="s">
        <v>195</v>
      </c>
    </row>
    <row r="81" hidden="1">
      <c r="A81" s="148">
        <v>8.0</v>
      </c>
      <c r="B81" s="41" t="s">
        <v>180</v>
      </c>
      <c r="C81" s="149"/>
      <c r="D81" s="33" t="s">
        <v>191</v>
      </c>
      <c r="E81" s="150" t="s">
        <v>179</v>
      </c>
      <c r="F81" s="160" t="s">
        <v>112</v>
      </c>
      <c r="P81" s="31" t="s">
        <v>171</v>
      </c>
      <c r="Q81" s="31" t="s">
        <v>189</v>
      </c>
      <c r="R81" s="31" t="s">
        <v>196</v>
      </c>
      <c r="S81" s="31" t="s">
        <v>197</v>
      </c>
      <c r="X81" s="31">
        <v>21.0</v>
      </c>
      <c r="Y81">
        <f t="shared" ref="Y81:Y83" si="4">24-X81</f>
        <v>3</v>
      </c>
    </row>
    <row r="82" hidden="1">
      <c r="A82" s="152">
        <v>9.0</v>
      </c>
      <c r="B82" s="41" t="s">
        <v>180</v>
      </c>
      <c r="C82" s="161" t="s">
        <v>112</v>
      </c>
      <c r="D82" s="33" t="s">
        <v>191</v>
      </c>
      <c r="E82" s="161" t="s">
        <v>112</v>
      </c>
      <c r="F82" s="161" t="s">
        <v>112</v>
      </c>
      <c r="P82" s="31" t="s">
        <v>185</v>
      </c>
      <c r="Q82" s="31" t="s">
        <v>188</v>
      </c>
      <c r="R82" s="31" t="s">
        <v>196</v>
      </c>
      <c r="S82" s="41" t="s">
        <v>180</v>
      </c>
      <c r="X82" s="31">
        <v>24.0</v>
      </c>
      <c r="Y82">
        <f t="shared" si="4"/>
        <v>0</v>
      </c>
    </row>
    <row r="83" hidden="1">
      <c r="A83" s="152">
        <v>10.0</v>
      </c>
      <c r="B83" s="41" t="s">
        <v>180</v>
      </c>
      <c r="C83" s="161" t="s">
        <v>112</v>
      </c>
      <c r="D83" s="55" t="s">
        <v>162</v>
      </c>
      <c r="E83" s="161" t="s">
        <v>112</v>
      </c>
      <c r="F83" s="41" t="s">
        <v>180</v>
      </c>
      <c r="P83" s="31" t="s">
        <v>191</v>
      </c>
      <c r="Q83" s="31" t="s">
        <v>112</v>
      </c>
      <c r="R83" s="31" t="s">
        <v>196</v>
      </c>
      <c r="S83" s="41" t="s">
        <v>180</v>
      </c>
      <c r="X83" s="31">
        <v>24.0</v>
      </c>
      <c r="Y83">
        <f t="shared" si="4"/>
        <v>0</v>
      </c>
    </row>
    <row r="84" hidden="1">
      <c r="A84" s="156">
        <v>0.4791666666666667</v>
      </c>
      <c r="B84" s="33" t="s">
        <v>191</v>
      </c>
      <c r="C84" s="33" t="s">
        <v>191</v>
      </c>
      <c r="D84" s="55" t="s">
        <v>162</v>
      </c>
      <c r="E84" s="33" t="s">
        <v>191</v>
      </c>
      <c r="F84" s="33" t="s">
        <v>191</v>
      </c>
    </row>
    <row r="85" hidden="1">
      <c r="A85" s="156">
        <v>0.5208333333333334</v>
      </c>
      <c r="B85" s="33" t="s">
        <v>191</v>
      </c>
      <c r="C85" s="33" t="s">
        <v>191</v>
      </c>
      <c r="D85" s="154" t="s">
        <v>187</v>
      </c>
      <c r="E85" s="33" t="s">
        <v>191</v>
      </c>
      <c r="F85" s="31"/>
    </row>
    <row r="86" hidden="1">
      <c r="A86" s="61">
        <v>0.5625</v>
      </c>
      <c r="B86" s="33" t="s">
        <v>191</v>
      </c>
      <c r="C86" s="157"/>
      <c r="D86" s="158"/>
      <c r="E86" s="16"/>
      <c r="F86" s="164"/>
    </row>
    <row r="87" hidden="1"/>
    <row r="88" hidden="1"/>
    <row r="89" hidden="1"/>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c r="B182" s="165" t="s">
        <v>198</v>
      </c>
    </row>
    <row r="183"/>
    <row r="184">
      <c r="B184" s="166" t="s">
        <v>199</v>
      </c>
      <c r="C184" s="167" t="s">
        <v>17</v>
      </c>
      <c r="D184" s="168" t="s">
        <v>18</v>
      </c>
      <c r="E184" s="168" t="s">
        <v>20</v>
      </c>
      <c r="F184" s="168" t="s">
        <v>21</v>
      </c>
      <c r="G184" s="168" t="s">
        <v>22</v>
      </c>
    </row>
    <row r="185">
      <c r="B185" s="76"/>
      <c r="C185" s="76"/>
      <c r="D185" s="76"/>
      <c r="E185" s="76"/>
      <c r="F185" s="76"/>
      <c r="G185" s="76"/>
    </row>
    <row r="186">
      <c r="B186" s="170" t="s">
        <v>200</v>
      </c>
      <c r="C186" s="171"/>
      <c r="D186" s="172" t="s">
        <v>201</v>
      </c>
      <c r="E186" s="171"/>
      <c r="F186" s="173" t="s">
        <v>202</v>
      </c>
      <c r="G186" s="172" t="s">
        <v>201</v>
      </c>
    </row>
    <row r="187">
      <c r="B187" s="170" t="s">
        <v>203</v>
      </c>
      <c r="C187" s="173" t="s">
        <v>204</v>
      </c>
      <c r="D187" s="172" t="s">
        <v>201</v>
      </c>
      <c r="E187" s="172" t="s">
        <v>205</v>
      </c>
      <c r="F187" s="173" t="s">
        <v>202</v>
      </c>
      <c r="G187" s="172" t="s">
        <v>201</v>
      </c>
    </row>
    <row r="188">
      <c r="B188" s="170" t="s">
        <v>206</v>
      </c>
      <c r="C188" s="172" t="s">
        <v>201</v>
      </c>
      <c r="D188" s="172" t="s">
        <v>207</v>
      </c>
      <c r="E188" s="172" t="s">
        <v>207</v>
      </c>
      <c r="F188" s="172" t="s">
        <v>205</v>
      </c>
      <c r="G188" s="172" t="s">
        <v>201</v>
      </c>
    </row>
    <row r="189">
      <c r="B189" s="174"/>
      <c r="C189" s="175" t="s">
        <v>208</v>
      </c>
      <c r="D189" s="3"/>
      <c r="E189" s="3"/>
      <c r="F189" s="3"/>
      <c r="G189" s="5"/>
    </row>
    <row r="190">
      <c r="B190" s="170" t="s">
        <v>209</v>
      </c>
      <c r="C190" s="172" t="s">
        <v>201</v>
      </c>
      <c r="D190" s="173" t="s">
        <v>202</v>
      </c>
      <c r="E190" s="173" t="s">
        <v>202</v>
      </c>
      <c r="F190" s="172" t="s">
        <v>205</v>
      </c>
      <c r="G190" s="172" t="s">
        <v>201</v>
      </c>
    </row>
    <row r="191">
      <c r="B191" s="170" t="s">
        <v>210</v>
      </c>
      <c r="C191" s="172" t="s">
        <v>201</v>
      </c>
      <c r="D191" s="176" t="s">
        <v>211</v>
      </c>
      <c r="E191" s="172" t="s">
        <v>207</v>
      </c>
      <c r="F191" s="172" t="s">
        <v>207</v>
      </c>
      <c r="G191" s="172" t="s">
        <v>212</v>
      </c>
    </row>
    <row r="192">
      <c r="B192" s="170" t="s">
        <v>213</v>
      </c>
      <c r="C192" s="171"/>
      <c r="D192" s="176" t="s">
        <v>211</v>
      </c>
      <c r="E192" s="172" t="s">
        <v>207</v>
      </c>
      <c r="F192" s="172" t="s">
        <v>207</v>
      </c>
      <c r="G192" s="171"/>
    </row>
    <row r="193"/>
    <row r="194"/>
    <row r="195">
      <c r="B195" s="166" t="s">
        <v>214</v>
      </c>
      <c r="C195" s="167" t="s">
        <v>17</v>
      </c>
      <c r="D195" s="168" t="s">
        <v>18</v>
      </c>
      <c r="E195" s="168" t="s">
        <v>20</v>
      </c>
      <c r="F195" s="168" t="s">
        <v>21</v>
      </c>
      <c r="G195" s="168" t="s">
        <v>22</v>
      </c>
    </row>
    <row r="196">
      <c r="B196" s="76"/>
      <c r="C196" s="76"/>
      <c r="D196" s="76"/>
      <c r="E196" s="76"/>
      <c r="F196" s="76"/>
      <c r="G196" s="76"/>
    </row>
    <row r="197">
      <c r="B197" s="170" t="s">
        <v>200</v>
      </c>
      <c r="C197" s="171"/>
      <c r="D197" s="173" t="s">
        <v>215</v>
      </c>
      <c r="E197" s="171"/>
      <c r="F197" s="173" t="s">
        <v>215</v>
      </c>
      <c r="G197" s="173" t="s">
        <v>215</v>
      </c>
    </row>
    <row r="198">
      <c r="B198" s="170" t="s">
        <v>203</v>
      </c>
      <c r="C198" s="173" t="s">
        <v>215</v>
      </c>
      <c r="D198" s="173" t="s">
        <v>215</v>
      </c>
      <c r="E198" s="173" t="s">
        <v>216</v>
      </c>
      <c r="F198" s="173" t="s">
        <v>215</v>
      </c>
      <c r="G198" s="173" t="s">
        <v>215</v>
      </c>
    </row>
    <row r="199">
      <c r="B199" s="170" t="s">
        <v>206</v>
      </c>
      <c r="C199" s="173" t="s">
        <v>202</v>
      </c>
      <c r="D199" s="172" t="s">
        <v>217</v>
      </c>
      <c r="E199" s="172" t="s">
        <v>218</v>
      </c>
      <c r="F199" s="173" t="s">
        <v>202</v>
      </c>
      <c r="G199" s="173" t="s">
        <v>202</v>
      </c>
    </row>
    <row r="200">
      <c r="B200" s="174"/>
      <c r="C200" s="175" t="s">
        <v>208</v>
      </c>
      <c r="D200" s="3"/>
      <c r="E200" s="3"/>
      <c r="F200" s="3"/>
      <c r="G200" s="5"/>
    </row>
    <row r="201">
      <c r="B201" s="170" t="s">
        <v>209</v>
      </c>
      <c r="C201" s="173" t="s">
        <v>202</v>
      </c>
      <c r="D201" s="173" t="s">
        <v>219</v>
      </c>
      <c r="E201" s="173" t="s">
        <v>215</v>
      </c>
      <c r="F201" s="173" t="s">
        <v>202</v>
      </c>
      <c r="G201" s="173" t="s">
        <v>202</v>
      </c>
    </row>
    <row r="202">
      <c r="B202" s="170" t="s">
        <v>210</v>
      </c>
      <c r="C202" s="177" t="s">
        <v>202</v>
      </c>
      <c r="D202" s="176" t="s">
        <v>211</v>
      </c>
      <c r="E202" s="172" t="s">
        <v>220</v>
      </c>
      <c r="F202" s="172" t="s">
        <v>221</v>
      </c>
      <c r="G202" s="172" t="s">
        <v>212</v>
      </c>
    </row>
    <row r="203">
      <c r="B203" s="170" t="s">
        <v>213</v>
      </c>
      <c r="C203" s="178"/>
      <c r="D203" s="176" t="s">
        <v>211</v>
      </c>
      <c r="E203" s="173" t="s">
        <v>215</v>
      </c>
      <c r="F203" s="172" t="s">
        <v>222</v>
      </c>
      <c r="G203" s="178"/>
    </row>
    <row r="204"/>
    <row r="205"/>
    <row r="206">
      <c r="B206" s="179" t="s">
        <v>223</v>
      </c>
      <c r="C206" s="167" t="s">
        <v>17</v>
      </c>
      <c r="D206" s="168" t="s">
        <v>18</v>
      </c>
      <c r="E206" s="168" t="s">
        <v>20</v>
      </c>
      <c r="F206" s="168" t="s">
        <v>21</v>
      </c>
      <c r="G206" s="168" t="s">
        <v>22</v>
      </c>
    </row>
    <row r="207">
      <c r="B207" s="76"/>
      <c r="C207" s="76"/>
      <c r="D207" s="76"/>
      <c r="E207" s="76"/>
      <c r="F207" s="76"/>
      <c r="G207" s="76"/>
    </row>
    <row r="208">
      <c r="B208" s="170" t="s">
        <v>200</v>
      </c>
      <c r="C208" s="173" t="s">
        <v>204</v>
      </c>
      <c r="D208" s="173" t="s">
        <v>224</v>
      </c>
      <c r="E208" s="173" t="s">
        <v>225</v>
      </c>
      <c r="F208" s="173" t="s">
        <v>224</v>
      </c>
      <c r="G208" s="173" t="s">
        <v>226</v>
      </c>
    </row>
    <row r="209">
      <c r="B209" s="170" t="s">
        <v>203</v>
      </c>
      <c r="C209" s="173" t="s">
        <v>225</v>
      </c>
      <c r="D209" s="173" t="s">
        <v>204</v>
      </c>
      <c r="E209" s="173" t="s">
        <v>225</v>
      </c>
      <c r="F209" s="173" t="s">
        <v>224</v>
      </c>
      <c r="G209" s="173" t="s">
        <v>226</v>
      </c>
    </row>
    <row r="210">
      <c r="B210" s="170" t="s">
        <v>206</v>
      </c>
      <c r="C210" s="173" t="s">
        <v>225</v>
      </c>
      <c r="D210" s="173" t="s">
        <v>225</v>
      </c>
      <c r="E210" s="173" t="s">
        <v>225</v>
      </c>
      <c r="F210" s="173" t="s">
        <v>225</v>
      </c>
      <c r="G210" s="173" t="s">
        <v>225</v>
      </c>
    </row>
    <row r="211">
      <c r="B211" s="174"/>
      <c r="C211" s="175"/>
      <c r="D211" s="3"/>
      <c r="E211" s="3"/>
      <c r="F211" s="3"/>
      <c r="G211" s="5"/>
    </row>
    <row r="212">
      <c r="B212" s="170" t="s">
        <v>209</v>
      </c>
      <c r="C212" s="172" t="s">
        <v>212</v>
      </c>
      <c r="D212" s="173" t="s">
        <v>225</v>
      </c>
      <c r="E212" s="173" t="s">
        <v>227</v>
      </c>
      <c r="F212" s="173" t="s">
        <v>225</v>
      </c>
      <c r="G212" s="173" t="s">
        <v>225</v>
      </c>
    </row>
    <row r="213">
      <c r="B213" s="170" t="s">
        <v>210</v>
      </c>
      <c r="C213" s="180"/>
      <c r="D213" s="176" t="s">
        <v>211</v>
      </c>
      <c r="E213" s="173" t="s">
        <v>204</v>
      </c>
      <c r="F213" s="173" t="s">
        <v>225</v>
      </c>
      <c r="G213" s="178"/>
    </row>
    <row r="214">
      <c r="B214" s="170" t="s">
        <v>213</v>
      </c>
      <c r="C214" s="178"/>
      <c r="D214" s="176" t="s">
        <v>211</v>
      </c>
      <c r="E214" s="173" t="s">
        <v>204</v>
      </c>
      <c r="F214" s="173" t="s">
        <v>225</v>
      </c>
      <c r="G214" s="178"/>
    </row>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sheetData>
  <mergeCells count="119">
    <mergeCell ref="D4:D5"/>
    <mergeCell ref="E4:E5"/>
    <mergeCell ref="F5:F6"/>
    <mergeCell ref="C6:C7"/>
    <mergeCell ref="D6:D7"/>
    <mergeCell ref="E6:E7"/>
    <mergeCell ref="B8:B9"/>
    <mergeCell ref="I16:I17"/>
    <mergeCell ref="K16:K17"/>
    <mergeCell ref="L16:L17"/>
    <mergeCell ref="I18:I19"/>
    <mergeCell ref="E8:E9"/>
    <mergeCell ref="B12:F12"/>
    <mergeCell ref="H12:H13"/>
    <mergeCell ref="C14:C15"/>
    <mergeCell ref="I14:I15"/>
    <mergeCell ref="J14:J15"/>
    <mergeCell ref="F15:F16"/>
    <mergeCell ref="E184:E185"/>
    <mergeCell ref="F184:F185"/>
    <mergeCell ref="D14:D15"/>
    <mergeCell ref="D16:D17"/>
    <mergeCell ref="B18:B19"/>
    <mergeCell ref="B182:G182"/>
    <mergeCell ref="B184:B185"/>
    <mergeCell ref="C184:C185"/>
    <mergeCell ref="D184:D185"/>
    <mergeCell ref="G184:G185"/>
    <mergeCell ref="C189:G189"/>
    <mergeCell ref="B195:B196"/>
    <mergeCell ref="C195:C196"/>
    <mergeCell ref="D195:D196"/>
    <mergeCell ref="E195:E196"/>
    <mergeCell ref="F195:F196"/>
    <mergeCell ref="G206:G207"/>
    <mergeCell ref="C211:G211"/>
    <mergeCell ref="G195:G196"/>
    <mergeCell ref="C200:G200"/>
    <mergeCell ref="B206:B207"/>
    <mergeCell ref="C206:C207"/>
    <mergeCell ref="D206:D207"/>
    <mergeCell ref="E206:E207"/>
    <mergeCell ref="F206:F207"/>
    <mergeCell ref="S14:S15"/>
    <mergeCell ref="S17:S18"/>
    <mergeCell ref="R18:R19"/>
    <mergeCell ref="K14:K15"/>
    <mergeCell ref="L14:L15"/>
    <mergeCell ref="R14:R15"/>
    <mergeCell ref="M15:M16"/>
    <mergeCell ref="T15:T16"/>
    <mergeCell ref="R16:R17"/>
    <mergeCell ref="M17:M18"/>
    <mergeCell ref="Q24:Q25"/>
    <mergeCell ref="R24:R25"/>
    <mergeCell ref="S24:S25"/>
    <mergeCell ref="T25:T26"/>
    <mergeCell ref="S27:S28"/>
    <mergeCell ref="T27:T28"/>
    <mergeCell ref="L24:L25"/>
    <mergeCell ref="M25:M26"/>
    <mergeCell ref="M27:M28"/>
    <mergeCell ref="C24:C25"/>
    <mergeCell ref="D24:D25"/>
    <mergeCell ref="I24:I25"/>
    <mergeCell ref="J24:J25"/>
    <mergeCell ref="K24:K25"/>
    <mergeCell ref="P24:P25"/>
    <mergeCell ref="F25:F26"/>
    <mergeCell ref="I26:I27"/>
    <mergeCell ref="I28:I29"/>
    <mergeCell ref="D26:D27"/>
    <mergeCell ref="E26:E27"/>
    <mergeCell ref="K26:K27"/>
    <mergeCell ref="L26:L27"/>
    <mergeCell ref="P26:P27"/>
    <mergeCell ref="R26:R27"/>
    <mergeCell ref="B28:B29"/>
    <mergeCell ref="R28:R29"/>
    <mergeCell ref="I4:I5"/>
    <mergeCell ref="J4:J5"/>
    <mergeCell ref="I6:I7"/>
    <mergeCell ref="I8:I9"/>
    <mergeCell ref="K4:K5"/>
    <mergeCell ref="L4:L5"/>
    <mergeCell ref="M5:M6"/>
    <mergeCell ref="K6:K7"/>
    <mergeCell ref="M7:M8"/>
    <mergeCell ref="P4:P5"/>
    <mergeCell ref="Q4:Q5"/>
    <mergeCell ref="P6:P7"/>
    <mergeCell ref="O12:O13"/>
    <mergeCell ref="P14:P15"/>
    <mergeCell ref="Q14:Q15"/>
    <mergeCell ref="P16:P17"/>
    <mergeCell ref="R4:R5"/>
    <mergeCell ref="S4:S5"/>
    <mergeCell ref="T5:T6"/>
    <mergeCell ref="R6:R7"/>
    <mergeCell ref="S7:S8"/>
    <mergeCell ref="T7:T8"/>
    <mergeCell ref="R8:R9"/>
    <mergeCell ref="A11:Z11"/>
    <mergeCell ref="I12:M12"/>
    <mergeCell ref="P12:T12"/>
    <mergeCell ref="A1:Z1"/>
    <mergeCell ref="B2:F2"/>
    <mergeCell ref="H2:H3"/>
    <mergeCell ref="I2:M2"/>
    <mergeCell ref="O2:O3"/>
    <mergeCell ref="P2:T2"/>
    <mergeCell ref="C4:C5"/>
    <mergeCell ref="T17:T18"/>
    <mergeCell ref="A21:Z21"/>
    <mergeCell ref="B22:F22"/>
    <mergeCell ref="H22:H23"/>
    <mergeCell ref="I22:M22"/>
    <mergeCell ref="O22:O23"/>
    <mergeCell ref="P22:T22"/>
  </mergeCells>
  <printOptions/>
  <pageMargins bottom="1.025" footer="0.0" header="0.0" left="0.7875" right="0.7875" top="1.025"/>
  <pageSetup paperSize="9" orientation="portrait"/>
  <headerFooter>
    <oddHeader>&amp;C&amp;A</oddHeader>
    <oddFooter>&amp;CPàgina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1.0"/>
    <col customWidth="1" min="2" max="2" width="6.0"/>
    <col customWidth="1" min="8" max="8" width="9.13"/>
    <col customWidth="1" min="9" max="9" width="97.75"/>
    <col customWidth="1" min="10" max="10" width="38.75"/>
    <col customWidth="1" min="11" max="14" width="82.63"/>
  </cols>
  <sheetData>
    <row r="1">
      <c r="A1" s="6"/>
      <c r="I1" s="9"/>
    </row>
    <row r="2">
      <c r="C2" s="11"/>
      <c r="D2" s="11"/>
      <c r="E2" s="11"/>
      <c r="F2" s="11"/>
      <c r="G2" s="11"/>
      <c r="H2" s="11" t="s">
        <v>9</v>
      </c>
      <c r="I2" s="11"/>
      <c r="J2" s="15"/>
      <c r="K2" s="18"/>
      <c r="L2" s="18"/>
      <c r="M2" s="18"/>
      <c r="N2" s="18"/>
    </row>
    <row r="3">
      <c r="B3" s="21" t="s">
        <v>13</v>
      </c>
      <c r="C3" s="25" t="s">
        <v>15</v>
      </c>
      <c r="D3" s="3"/>
      <c r="E3" s="3"/>
      <c r="F3" s="3"/>
      <c r="G3" s="3"/>
      <c r="H3" s="5"/>
      <c r="I3" s="32" t="s">
        <v>23</v>
      </c>
      <c r="J3" s="5"/>
      <c r="K3" s="36"/>
      <c r="L3" s="36"/>
      <c r="M3" s="36"/>
      <c r="N3" s="36"/>
    </row>
    <row r="4">
      <c r="B4" s="40">
        <v>1.0</v>
      </c>
      <c r="C4" s="43" t="s">
        <v>36</v>
      </c>
      <c r="I4" s="45" t="s">
        <v>49</v>
      </c>
      <c r="J4" s="45"/>
      <c r="K4" s="45"/>
      <c r="L4" s="45"/>
      <c r="M4" s="45"/>
      <c r="N4" s="45"/>
    </row>
    <row r="5">
      <c r="B5" s="40">
        <v>1.0</v>
      </c>
      <c r="C5" s="48" t="s">
        <v>36</v>
      </c>
      <c r="I5" s="45" t="s">
        <v>57</v>
      </c>
      <c r="J5" s="45"/>
      <c r="K5" s="45"/>
      <c r="L5" s="45"/>
      <c r="M5" s="45"/>
      <c r="N5" s="45"/>
    </row>
    <row r="6">
      <c r="B6" s="40">
        <v>1.0</v>
      </c>
      <c r="C6" s="48" t="s">
        <v>60</v>
      </c>
      <c r="I6" s="53" t="s">
        <v>61</v>
      </c>
      <c r="J6" s="53"/>
      <c r="K6" s="45"/>
      <c r="L6" s="45"/>
      <c r="M6" s="45"/>
      <c r="N6" s="45"/>
    </row>
    <row r="7">
      <c r="B7" s="40">
        <v>1.0</v>
      </c>
      <c r="C7" s="48" t="s">
        <v>64</v>
      </c>
      <c r="I7" s="57" t="s">
        <v>67</v>
      </c>
      <c r="J7" s="57"/>
      <c r="K7" s="45"/>
      <c r="L7" s="45"/>
      <c r="M7" s="45"/>
      <c r="N7" s="45"/>
    </row>
    <row r="8">
      <c r="B8" s="40">
        <v>1.0</v>
      </c>
      <c r="C8" s="48" t="s">
        <v>69</v>
      </c>
      <c r="I8" s="53" t="s">
        <v>70</v>
      </c>
      <c r="J8" s="53"/>
      <c r="K8" s="45"/>
      <c r="L8" s="45"/>
      <c r="M8" s="45"/>
      <c r="N8" s="45"/>
    </row>
    <row r="9">
      <c r="B9" s="40">
        <v>1.0</v>
      </c>
      <c r="C9" s="48" t="s">
        <v>72</v>
      </c>
      <c r="I9" s="53"/>
      <c r="J9" s="53"/>
      <c r="K9" s="45"/>
      <c r="L9" s="45"/>
      <c r="M9" s="45"/>
      <c r="N9" s="45"/>
    </row>
    <row r="10">
      <c r="A10" s="56"/>
      <c r="B10" s="70">
        <v>2.0</v>
      </c>
      <c r="C10" s="74" t="s">
        <v>75</v>
      </c>
      <c r="I10" s="77" t="s">
        <v>77</v>
      </c>
      <c r="J10" s="77"/>
      <c r="K10" s="77"/>
      <c r="L10" s="77"/>
      <c r="M10" s="77"/>
      <c r="N10" s="77"/>
    </row>
    <row r="11">
      <c r="A11" s="56"/>
      <c r="B11" s="70">
        <v>2.0</v>
      </c>
      <c r="C11" s="35" t="s">
        <v>80</v>
      </c>
      <c r="I11" s="79" t="s">
        <v>81</v>
      </c>
      <c r="J11" s="79"/>
      <c r="K11" s="79"/>
      <c r="L11" s="79"/>
      <c r="M11" s="79"/>
      <c r="N11" s="79"/>
    </row>
    <row r="12">
      <c r="A12" s="30" t="s">
        <v>82</v>
      </c>
      <c r="B12" s="70">
        <v>2.0</v>
      </c>
      <c r="C12" s="35" t="s">
        <v>84</v>
      </c>
      <c r="I12" s="80" t="s">
        <v>86</v>
      </c>
      <c r="J12" s="79"/>
      <c r="K12" s="79"/>
      <c r="L12" s="79"/>
      <c r="M12" s="79"/>
      <c r="N12" s="79"/>
    </row>
    <row r="13">
      <c r="A13" s="30"/>
      <c r="B13" s="70">
        <v>2.0</v>
      </c>
      <c r="C13" s="83" t="s">
        <v>87</v>
      </c>
      <c r="I13" s="79" t="s">
        <v>93</v>
      </c>
      <c r="J13" s="79"/>
      <c r="K13" s="79"/>
      <c r="L13" s="79"/>
      <c r="M13" s="79"/>
      <c r="N13" s="79"/>
    </row>
    <row r="14">
      <c r="A14" s="56" t="s">
        <v>96</v>
      </c>
      <c r="B14" s="70">
        <v>2.0</v>
      </c>
      <c r="C14" s="83" t="s">
        <v>102</v>
      </c>
      <c r="I14" s="80" t="s">
        <v>115</v>
      </c>
      <c r="J14" s="80"/>
      <c r="K14" s="80"/>
      <c r="L14" s="80"/>
      <c r="M14" s="80"/>
      <c r="N14" s="80"/>
    </row>
    <row r="15">
      <c r="B15" s="95">
        <v>3.0</v>
      </c>
      <c r="C15" s="97" t="s">
        <v>118</v>
      </c>
      <c r="I15" s="98" t="s">
        <v>119</v>
      </c>
      <c r="J15" s="98"/>
      <c r="K15" s="99"/>
      <c r="L15" s="99"/>
      <c r="M15" s="99"/>
      <c r="N15" s="99"/>
    </row>
    <row r="16">
      <c r="B16" s="95">
        <v>3.0</v>
      </c>
      <c r="C16" s="97" t="s">
        <v>120</v>
      </c>
      <c r="I16" s="98" t="s">
        <v>119</v>
      </c>
      <c r="J16" s="98"/>
      <c r="K16" s="99"/>
      <c r="L16" s="99"/>
      <c r="M16" s="99"/>
      <c r="N16" s="99"/>
    </row>
    <row r="17">
      <c r="B17" s="95">
        <v>3.0</v>
      </c>
      <c r="C17" s="97" t="s">
        <v>122</v>
      </c>
      <c r="I17" s="98" t="s">
        <v>124</v>
      </c>
      <c r="J17" s="99"/>
      <c r="K17" s="99"/>
      <c r="L17" s="99"/>
      <c r="M17" s="99"/>
      <c r="N17" s="99"/>
    </row>
    <row r="18">
      <c r="B18" s="95">
        <v>3.0</v>
      </c>
      <c r="C18" s="97" t="s">
        <v>127</v>
      </c>
      <c r="I18" s="98" t="s">
        <v>129</v>
      </c>
      <c r="J18" s="99"/>
      <c r="K18" s="99"/>
      <c r="L18" s="99"/>
      <c r="M18" s="99"/>
      <c r="N18" s="99"/>
    </row>
    <row r="19">
      <c r="B19" s="95">
        <v>3.0</v>
      </c>
      <c r="C19" s="102"/>
      <c r="I19" s="99"/>
      <c r="J19" s="99"/>
      <c r="K19" s="99"/>
      <c r="L19" s="99"/>
      <c r="M19" s="99"/>
      <c r="N19" s="99"/>
    </row>
    <row r="20">
      <c r="B20" s="104">
        <v>4.0</v>
      </c>
      <c r="C20" s="105" t="s">
        <v>131</v>
      </c>
      <c r="I20" s="106" t="s">
        <v>133</v>
      </c>
      <c r="J20" s="106"/>
      <c r="K20" s="106"/>
      <c r="L20" s="106"/>
      <c r="M20" s="106"/>
      <c r="N20" s="106"/>
    </row>
    <row r="21">
      <c r="B21" s="104">
        <v>4.0</v>
      </c>
      <c r="C21" s="105" t="s">
        <v>135</v>
      </c>
      <c r="I21" s="106" t="s">
        <v>136</v>
      </c>
      <c r="J21" s="106"/>
      <c r="K21" s="106"/>
      <c r="L21" s="106"/>
      <c r="M21" s="106"/>
      <c r="N21" s="106"/>
    </row>
    <row r="22">
      <c r="B22" s="104">
        <v>4.0</v>
      </c>
      <c r="C22" s="105" t="s">
        <v>137</v>
      </c>
      <c r="I22" s="106" t="s">
        <v>136</v>
      </c>
      <c r="J22" s="106"/>
      <c r="K22" s="106"/>
      <c r="L22" s="106"/>
      <c r="M22" s="106"/>
      <c r="N22" s="106"/>
    </row>
    <row r="23">
      <c r="B23" s="104">
        <v>4.0</v>
      </c>
      <c r="C23" s="105" t="s">
        <v>127</v>
      </c>
      <c r="I23" s="106" t="s">
        <v>141</v>
      </c>
      <c r="J23" s="106"/>
      <c r="K23" s="106"/>
      <c r="L23" s="106"/>
      <c r="M23" s="106"/>
      <c r="N23" s="106"/>
    </row>
    <row r="24">
      <c r="A24" s="113"/>
      <c r="B24" s="114">
        <v>4.0</v>
      </c>
      <c r="C24" s="116" t="s">
        <v>145</v>
      </c>
      <c r="I24" s="117" t="s">
        <v>147</v>
      </c>
      <c r="J24" s="117"/>
      <c r="K24" s="117"/>
      <c r="L24" s="117"/>
      <c r="M24" s="117"/>
      <c r="N24" s="117"/>
    </row>
    <row r="25">
      <c r="A25" s="113"/>
      <c r="B25" s="114">
        <v>4.0</v>
      </c>
      <c r="C25" s="116" t="s">
        <v>150</v>
      </c>
      <c r="I25" s="119" t="s">
        <v>153</v>
      </c>
      <c r="J25" s="119"/>
      <c r="K25" s="117"/>
      <c r="L25" s="117"/>
      <c r="M25" s="117"/>
      <c r="N25" s="117"/>
    </row>
    <row r="26">
      <c r="I26" s="9"/>
    </row>
    <row r="27">
      <c r="I27" s="9"/>
    </row>
    <row r="28">
      <c r="I28" s="9"/>
    </row>
    <row r="29">
      <c r="I29" s="9"/>
    </row>
    <row r="30">
      <c r="I30" s="9"/>
    </row>
    <row r="31">
      <c r="I31" s="9"/>
    </row>
    <row r="32">
      <c r="I32" s="9"/>
    </row>
    <row r="33">
      <c r="I33" s="9"/>
    </row>
    <row r="34">
      <c r="I34" s="9"/>
    </row>
    <row r="35">
      <c r="I35" s="9"/>
    </row>
    <row r="36">
      <c r="I36" s="9"/>
    </row>
    <row r="37">
      <c r="I37" s="9"/>
    </row>
    <row r="38">
      <c r="I38" s="9"/>
    </row>
    <row r="39">
      <c r="I39" s="9"/>
    </row>
    <row r="40">
      <c r="I40" s="9"/>
    </row>
    <row r="41">
      <c r="I41" s="9"/>
    </row>
    <row r="42">
      <c r="I42" s="9"/>
    </row>
    <row r="43">
      <c r="I43" s="9"/>
    </row>
    <row r="44">
      <c r="I44" s="9"/>
    </row>
    <row r="45">
      <c r="I45" s="9"/>
    </row>
    <row r="46">
      <c r="I46" s="9"/>
    </row>
    <row r="47">
      <c r="I47" s="9"/>
    </row>
    <row r="48">
      <c r="I48" s="9"/>
    </row>
    <row r="49">
      <c r="I49" s="9"/>
    </row>
    <row r="50">
      <c r="I50" s="9"/>
    </row>
    <row r="51">
      <c r="I51" s="9"/>
    </row>
    <row r="52">
      <c r="I52" s="9"/>
    </row>
    <row r="53">
      <c r="I53" s="9"/>
    </row>
    <row r="54">
      <c r="I54" s="9"/>
    </row>
    <row r="55">
      <c r="I55" s="9"/>
    </row>
    <row r="56">
      <c r="I56" s="9"/>
    </row>
    <row r="57">
      <c r="I57" s="9"/>
    </row>
    <row r="58">
      <c r="I58" s="9"/>
    </row>
    <row r="59">
      <c r="I59" s="9"/>
    </row>
    <row r="60">
      <c r="I60" s="9"/>
    </row>
    <row r="61">
      <c r="I61" s="9"/>
    </row>
    <row r="62">
      <c r="I62" s="9"/>
    </row>
    <row r="63">
      <c r="I63" s="9"/>
    </row>
    <row r="64">
      <c r="I64" s="9"/>
    </row>
    <row r="65">
      <c r="I65" s="9"/>
    </row>
    <row r="66">
      <c r="I66" s="9"/>
    </row>
    <row r="67">
      <c r="I67" s="9"/>
    </row>
    <row r="68">
      <c r="I68" s="9"/>
    </row>
    <row r="69">
      <c r="I69" s="9"/>
    </row>
    <row r="70">
      <c r="I70" s="9"/>
    </row>
    <row r="71">
      <c r="I71" s="9"/>
    </row>
    <row r="72">
      <c r="I72" s="9"/>
    </row>
    <row r="73">
      <c r="I73" s="9"/>
    </row>
    <row r="74">
      <c r="I74" s="9"/>
    </row>
    <row r="75">
      <c r="I75" s="9"/>
    </row>
    <row r="76">
      <c r="I76" s="9"/>
    </row>
    <row r="77">
      <c r="I77" s="9"/>
    </row>
    <row r="78">
      <c r="I78" s="9"/>
    </row>
    <row r="79">
      <c r="I79" s="9"/>
    </row>
    <row r="80">
      <c r="I80" s="9"/>
    </row>
    <row r="81">
      <c r="I81" s="9"/>
    </row>
    <row r="82">
      <c r="I82" s="9"/>
    </row>
    <row r="83">
      <c r="I83" s="9"/>
    </row>
    <row r="84">
      <c r="I84" s="9"/>
    </row>
    <row r="85">
      <c r="I85" s="9"/>
    </row>
    <row r="86">
      <c r="I86" s="9"/>
    </row>
    <row r="87">
      <c r="I87" s="9"/>
    </row>
    <row r="88">
      <c r="I88" s="9"/>
    </row>
    <row r="89">
      <c r="I89" s="9"/>
    </row>
    <row r="90">
      <c r="I90" s="9"/>
    </row>
    <row r="91">
      <c r="I91" s="9"/>
    </row>
    <row r="92">
      <c r="I92" s="9"/>
    </row>
    <row r="93">
      <c r="I93" s="9"/>
    </row>
    <row r="94">
      <c r="I94" s="9"/>
    </row>
    <row r="95">
      <c r="I95" s="9"/>
    </row>
    <row r="96">
      <c r="I96" s="9"/>
    </row>
    <row r="97">
      <c r="I97" s="9"/>
    </row>
    <row r="98">
      <c r="I98" s="9"/>
    </row>
    <row r="99">
      <c r="I99" s="9"/>
    </row>
    <row r="100">
      <c r="I100" s="9"/>
    </row>
    <row r="101">
      <c r="I101" s="9"/>
    </row>
    <row r="102">
      <c r="I102" s="9"/>
    </row>
    <row r="103">
      <c r="I103" s="9"/>
    </row>
    <row r="104">
      <c r="I104" s="9"/>
    </row>
    <row r="105">
      <c r="I105" s="9"/>
    </row>
    <row r="106">
      <c r="I106" s="9"/>
    </row>
    <row r="107">
      <c r="I107" s="9"/>
    </row>
    <row r="108">
      <c r="I108" s="9"/>
    </row>
    <row r="109">
      <c r="I109" s="9"/>
    </row>
    <row r="110">
      <c r="I110" s="9"/>
    </row>
    <row r="111">
      <c r="I111" s="9"/>
    </row>
    <row r="112">
      <c r="I112" s="9"/>
    </row>
    <row r="113">
      <c r="I113" s="9"/>
    </row>
    <row r="114">
      <c r="I114" s="9"/>
    </row>
    <row r="115">
      <c r="I115" s="9"/>
    </row>
    <row r="116">
      <c r="I116" s="9"/>
    </row>
    <row r="117">
      <c r="I117" s="9"/>
    </row>
    <row r="118">
      <c r="I118" s="9"/>
    </row>
    <row r="119">
      <c r="I119" s="9"/>
    </row>
    <row r="120">
      <c r="I120" s="9"/>
    </row>
    <row r="121">
      <c r="I121" s="9"/>
    </row>
    <row r="122">
      <c r="I122" s="9"/>
    </row>
    <row r="123">
      <c r="I123" s="9"/>
    </row>
    <row r="124">
      <c r="I124" s="9"/>
    </row>
    <row r="125">
      <c r="I125" s="9"/>
    </row>
    <row r="126">
      <c r="I126" s="9"/>
    </row>
    <row r="127">
      <c r="I127" s="9"/>
    </row>
    <row r="128">
      <c r="I128" s="9"/>
    </row>
    <row r="129">
      <c r="I129" s="9"/>
    </row>
    <row r="130">
      <c r="I130" s="9"/>
    </row>
    <row r="131">
      <c r="I131" s="9"/>
    </row>
    <row r="132">
      <c r="I132" s="9"/>
    </row>
    <row r="133">
      <c r="I133" s="9"/>
    </row>
    <row r="134">
      <c r="I134" s="9"/>
    </row>
    <row r="135">
      <c r="I135" s="9"/>
    </row>
    <row r="136">
      <c r="I136" s="9"/>
    </row>
    <row r="137">
      <c r="I137" s="9"/>
    </row>
    <row r="138">
      <c r="I138" s="9"/>
    </row>
    <row r="139">
      <c r="I139" s="9"/>
    </row>
    <row r="140">
      <c r="I140" s="9"/>
    </row>
    <row r="141">
      <c r="I141" s="9"/>
    </row>
    <row r="142">
      <c r="I142" s="9"/>
    </row>
    <row r="143">
      <c r="I143" s="9"/>
    </row>
    <row r="144">
      <c r="I144" s="9"/>
    </row>
    <row r="145">
      <c r="I145" s="9"/>
    </row>
    <row r="146">
      <c r="I146" s="9"/>
    </row>
    <row r="147">
      <c r="I147" s="9"/>
    </row>
    <row r="148">
      <c r="I148" s="9"/>
    </row>
    <row r="149">
      <c r="I149" s="9"/>
    </row>
    <row r="150">
      <c r="I150" s="9"/>
    </row>
    <row r="151">
      <c r="I151" s="9"/>
    </row>
    <row r="152">
      <c r="I152" s="9"/>
    </row>
    <row r="153">
      <c r="I153" s="9"/>
    </row>
    <row r="154">
      <c r="I154" s="9"/>
    </row>
    <row r="155">
      <c r="I155" s="9"/>
    </row>
    <row r="156">
      <c r="I156" s="9"/>
    </row>
    <row r="157">
      <c r="I157" s="9"/>
    </row>
    <row r="158">
      <c r="I158" s="9"/>
    </row>
    <row r="159">
      <c r="I159" s="9"/>
    </row>
    <row r="160">
      <c r="I160" s="9"/>
    </row>
    <row r="161">
      <c r="I161" s="9"/>
    </row>
    <row r="162">
      <c r="I162" s="9"/>
    </row>
    <row r="163">
      <c r="I163" s="9"/>
    </row>
    <row r="164">
      <c r="I164" s="9"/>
    </row>
    <row r="165">
      <c r="I165" s="9"/>
    </row>
    <row r="166">
      <c r="I166" s="9"/>
    </row>
    <row r="167">
      <c r="I167" s="9"/>
    </row>
    <row r="168">
      <c r="I168" s="9"/>
    </row>
    <row r="169">
      <c r="I169" s="9"/>
    </row>
    <row r="170">
      <c r="I170" s="9"/>
    </row>
    <row r="171">
      <c r="I171" s="9"/>
    </row>
    <row r="172">
      <c r="I172" s="9"/>
    </row>
    <row r="173">
      <c r="I173" s="9"/>
    </row>
    <row r="174">
      <c r="I174" s="9"/>
    </row>
    <row r="175">
      <c r="I175" s="9"/>
    </row>
    <row r="176">
      <c r="I176" s="9"/>
    </row>
    <row r="177">
      <c r="I177" s="9"/>
    </row>
    <row r="178">
      <c r="I178" s="9"/>
    </row>
    <row r="179">
      <c r="I179" s="9"/>
    </row>
    <row r="180">
      <c r="I180" s="9"/>
    </row>
    <row r="181">
      <c r="I181" s="9"/>
    </row>
    <row r="182">
      <c r="I182" s="9"/>
    </row>
    <row r="183">
      <c r="I183" s="9"/>
    </row>
    <row r="184">
      <c r="I184" s="9"/>
    </row>
    <row r="185">
      <c r="I185" s="9"/>
    </row>
    <row r="186">
      <c r="I186" s="9"/>
    </row>
    <row r="187">
      <c r="I187" s="9"/>
    </row>
    <row r="188">
      <c r="I188" s="9"/>
    </row>
    <row r="189">
      <c r="I189" s="9"/>
    </row>
    <row r="190">
      <c r="I190" s="9"/>
    </row>
    <row r="191">
      <c r="I191" s="9"/>
    </row>
    <row r="192">
      <c r="I192" s="9"/>
    </row>
    <row r="193">
      <c r="I193" s="9"/>
    </row>
    <row r="194">
      <c r="I194" s="9"/>
    </row>
    <row r="195">
      <c r="I195" s="9"/>
    </row>
    <row r="196">
      <c r="I196" s="9"/>
    </row>
    <row r="197">
      <c r="I197" s="9"/>
    </row>
    <row r="198">
      <c r="I198" s="9"/>
    </row>
    <row r="199">
      <c r="I199" s="9"/>
    </row>
    <row r="200">
      <c r="I200" s="9"/>
    </row>
    <row r="201">
      <c r="I201" s="9"/>
    </row>
    <row r="202">
      <c r="I202" s="9"/>
    </row>
    <row r="203">
      <c r="I203" s="9"/>
    </row>
    <row r="204">
      <c r="I204" s="9"/>
    </row>
    <row r="205">
      <c r="I205" s="9"/>
    </row>
    <row r="206">
      <c r="I206" s="9"/>
    </row>
    <row r="207">
      <c r="I207" s="9"/>
    </row>
    <row r="208">
      <c r="I208" s="9"/>
    </row>
    <row r="209">
      <c r="I209" s="9"/>
    </row>
    <row r="210">
      <c r="I210" s="9"/>
    </row>
    <row r="211">
      <c r="I211" s="9"/>
    </row>
    <row r="212">
      <c r="I212" s="9"/>
    </row>
    <row r="213">
      <c r="I213" s="9"/>
    </row>
    <row r="214">
      <c r="I214" s="9"/>
    </row>
    <row r="215">
      <c r="I215" s="9"/>
    </row>
    <row r="216">
      <c r="I216" s="9"/>
    </row>
    <row r="217">
      <c r="I217" s="9"/>
    </row>
    <row r="218">
      <c r="I218" s="9"/>
    </row>
    <row r="219">
      <c r="I219" s="9"/>
    </row>
    <row r="220">
      <c r="I220" s="9"/>
    </row>
    <row r="221">
      <c r="I221" s="9"/>
    </row>
    <row r="222">
      <c r="I222" s="9"/>
    </row>
    <row r="223">
      <c r="I223" s="9"/>
    </row>
    <row r="224">
      <c r="I224" s="9"/>
    </row>
    <row r="225">
      <c r="I225" s="9"/>
    </row>
    <row r="226">
      <c r="I226" s="9"/>
    </row>
    <row r="227">
      <c r="I227" s="9"/>
    </row>
    <row r="228">
      <c r="I228" s="9"/>
    </row>
    <row r="229">
      <c r="I229" s="9"/>
    </row>
    <row r="230">
      <c r="I230" s="9"/>
    </row>
    <row r="231">
      <c r="I231" s="9"/>
    </row>
    <row r="232">
      <c r="I232" s="9"/>
    </row>
    <row r="233">
      <c r="I233" s="9"/>
    </row>
    <row r="234">
      <c r="I234" s="9"/>
    </row>
    <row r="235">
      <c r="I235" s="9"/>
    </row>
    <row r="236">
      <c r="I236" s="9"/>
    </row>
    <row r="237">
      <c r="I237" s="9"/>
    </row>
    <row r="238">
      <c r="I238" s="9"/>
    </row>
    <row r="239">
      <c r="I239" s="9"/>
    </row>
    <row r="240">
      <c r="I240" s="9"/>
    </row>
    <row r="241">
      <c r="I241" s="9"/>
    </row>
    <row r="242">
      <c r="I242" s="9"/>
    </row>
    <row r="243">
      <c r="I243" s="9"/>
    </row>
    <row r="244">
      <c r="I244" s="9"/>
    </row>
    <row r="245">
      <c r="I245" s="9"/>
    </row>
    <row r="246">
      <c r="I246" s="9"/>
    </row>
    <row r="247">
      <c r="I247" s="9"/>
    </row>
    <row r="248">
      <c r="I248" s="9"/>
    </row>
    <row r="249">
      <c r="I249" s="9"/>
    </row>
    <row r="250">
      <c r="I250" s="9"/>
    </row>
    <row r="251">
      <c r="I251" s="9"/>
    </row>
    <row r="252">
      <c r="I252" s="9"/>
    </row>
    <row r="253">
      <c r="I253" s="9"/>
    </row>
    <row r="254">
      <c r="I254" s="9"/>
    </row>
    <row r="255">
      <c r="I255" s="9"/>
    </row>
    <row r="256">
      <c r="I256" s="9"/>
    </row>
    <row r="257">
      <c r="I257" s="9"/>
    </row>
    <row r="258">
      <c r="I258" s="9"/>
    </row>
    <row r="259">
      <c r="I259" s="9"/>
    </row>
    <row r="260">
      <c r="I260" s="9"/>
    </row>
    <row r="261">
      <c r="I261" s="9"/>
    </row>
    <row r="262">
      <c r="I262" s="9"/>
    </row>
    <row r="263">
      <c r="I263" s="9"/>
    </row>
    <row r="264">
      <c r="I264" s="9"/>
    </row>
    <row r="265">
      <c r="I265" s="9"/>
    </row>
    <row r="266">
      <c r="I266" s="9"/>
    </row>
    <row r="267">
      <c r="I267" s="9"/>
    </row>
    <row r="268">
      <c r="I268" s="9"/>
    </row>
    <row r="269">
      <c r="I269" s="9"/>
    </row>
    <row r="270">
      <c r="I270" s="9"/>
    </row>
    <row r="271">
      <c r="I271" s="9"/>
    </row>
    <row r="272">
      <c r="I272" s="9"/>
    </row>
    <row r="273">
      <c r="I273" s="9"/>
    </row>
    <row r="274">
      <c r="I274" s="9"/>
    </row>
    <row r="275">
      <c r="I275" s="9"/>
    </row>
    <row r="276">
      <c r="I276" s="9"/>
    </row>
    <row r="277">
      <c r="I277" s="9"/>
    </row>
    <row r="278">
      <c r="I278" s="9"/>
    </row>
    <row r="279">
      <c r="I279" s="9"/>
    </row>
    <row r="280">
      <c r="I280" s="9"/>
    </row>
    <row r="281">
      <c r="I281" s="9"/>
    </row>
    <row r="282">
      <c r="I282" s="9"/>
    </row>
    <row r="283">
      <c r="I283" s="9"/>
    </row>
    <row r="284">
      <c r="I284" s="9"/>
    </row>
    <row r="285">
      <c r="I285" s="9"/>
    </row>
    <row r="286">
      <c r="I286" s="9"/>
    </row>
    <row r="287">
      <c r="I287" s="9"/>
    </row>
    <row r="288">
      <c r="I288" s="9"/>
    </row>
    <row r="289">
      <c r="I289" s="9"/>
    </row>
    <row r="290">
      <c r="I290" s="9"/>
    </row>
    <row r="291">
      <c r="I291" s="9"/>
    </row>
    <row r="292">
      <c r="I292" s="9"/>
    </row>
    <row r="293">
      <c r="I293" s="9"/>
    </row>
    <row r="294">
      <c r="I294" s="9"/>
    </row>
    <row r="295">
      <c r="I295" s="9"/>
    </row>
    <row r="296">
      <c r="I296" s="9"/>
    </row>
    <row r="297">
      <c r="I297" s="9"/>
    </row>
    <row r="298">
      <c r="I298" s="9"/>
    </row>
    <row r="299">
      <c r="I299" s="9"/>
    </row>
    <row r="300">
      <c r="I300" s="9"/>
    </row>
    <row r="301">
      <c r="I301" s="9"/>
    </row>
    <row r="302">
      <c r="I302" s="9"/>
    </row>
    <row r="303">
      <c r="I303" s="9"/>
    </row>
    <row r="304">
      <c r="I304" s="9"/>
    </row>
    <row r="305">
      <c r="I305" s="9"/>
    </row>
    <row r="306">
      <c r="I306" s="9"/>
    </row>
    <row r="307">
      <c r="I307" s="9"/>
    </row>
    <row r="308">
      <c r="I308" s="9"/>
    </row>
    <row r="309">
      <c r="I309" s="9"/>
    </row>
    <row r="310">
      <c r="I310" s="9"/>
    </row>
    <row r="311">
      <c r="I311" s="9"/>
    </row>
    <row r="312">
      <c r="I312" s="9"/>
    </row>
    <row r="313">
      <c r="I313" s="9"/>
    </row>
    <row r="314">
      <c r="I314" s="9"/>
    </row>
    <row r="315">
      <c r="I315" s="9"/>
    </row>
    <row r="316">
      <c r="I316" s="9"/>
    </row>
    <row r="317">
      <c r="I317" s="9"/>
    </row>
    <row r="318">
      <c r="I318" s="9"/>
    </row>
    <row r="319">
      <c r="I319" s="9"/>
    </row>
    <row r="320">
      <c r="I320" s="9"/>
    </row>
    <row r="321">
      <c r="I321" s="9"/>
    </row>
    <row r="322">
      <c r="I322" s="9"/>
    </row>
    <row r="323">
      <c r="I323" s="9"/>
    </row>
    <row r="324">
      <c r="I324" s="9"/>
    </row>
    <row r="325">
      <c r="I325" s="9"/>
    </row>
    <row r="326">
      <c r="I326" s="9"/>
    </row>
    <row r="327">
      <c r="I327" s="9"/>
    </row>
    <row r="328">
      <c r="I328" s="9"/>
    </row>
    <row r="329">
      <c r="I329" s="9"/>
    </row>
    <row r="330">
      <c r="I330" s="9"/>
    </row>
    <row r="331">
      <c r="I331" s="9"/>
    </row>
    <row r="332">
      <c r="I332" s="9"/>
    </row>
    <row r="333">
      <c r="I333" s="9"/>
    </row>
    <row r="334">
      <c r="I334" s="9"/>
    </row>
    <row r="335">
      <c r="I335" s="9"/>
    </row>
    <row r="336">
      <c r="I336" s="9"/>
    </row>
    <row r="337">
      <c r="I337" s="9"/>
    </row>
    <row r="338">
      <c r="I338" s="9"/>
    </row>
    <row r="339">
      <c r="I339" s="9"/>
    </row>
    <row r="340">
      <c r="I340" s="9"/>
    </row>
    <row r="341">
      <c r="I341" s="9"/>
    </row>
    <row r="342">
      <c r="I342" s="9"/>
    </row>
    <row r="343">
      <c r="I343" s="9"/>
    </row>
    <row r="344">
      <c r="I344" s="9"/>
    </row>
    <row r="345">
      <c r="I345" s="9"/>
    </row>
    <row r="346">
      <c r="I346" s="9"/>
    </row>
    <row r="347">
      <c r="I347" s="9"/>
    </row>
    <row r="348">
      <c r="I348" s="9"/>
    </row>
    <row r="349">
      <c r="I349" s="9"/>
    </row>
    <row r="350">
      <c r="I350" s="9"/>
    </row>
    <row r="351">
      <c r="I351" s="9"/>
    </row>
    <row r="352">
      <c r="I352" s="9"/>
    </row>
    <row r="353">
      <c r="I353" s="9"/>
    </row>
    <row r="354">
      <c r="I354" s="9"/>
    </row>
    <row r="355">
      <c r="I355" s="9"/>
    </row>
    <row r="356">
      <c r="I356" s="9"/>
    </row>
    <row r="357">
      <c r="I357" s="9"/>
    </row>
    <row r="358">
      <c r="I358" s="9"/>
    </row>
    <row r="359">
      <c r="I359" s="9"/>
    </row>
    <row r="360">
      <c r="I360" s="9"/>
    </row>
    <row r="361">
      <c r="I361" s="9"/>
    </row>
    <row r="362">
      <c r="I362" s="9"/>
    </row>
    <row r="363">
      <c r="I363" s="9"/>
    </row>
    <row r="364">
      <c r="I364" s="9"/>
    </row>
    <row r="365">
      <c r="I365" s="9"/>
    </row>
    <row r="366">
      <c r="I366" s="9"/>
    </row>
    <row r="367">
      <c r="I367" s="9"/>
    </row>
    <row r="368">
      <c r="I368" s="9"/>
    </row>
    <row r="369">
      <c r="I369" s="9"/>
    </row>
    <row r="370">
      <c r="I370" s="9"/>
    </row>
    <row r="371">
      <c r="I371" s="9"/>
    </row>
    <row r="372">
      <c r="I372" s="9"/>
    </row>
    <row r="373">
      <c r="I373" s="9"/>
    </row>
    <row r="374">
      <c r="I374" s="9"/>
    </row>
    <row r="375">
      <c r="I375" s="9"/>
    </row>
    <row r="376">
      <c r="I376" s="9"/>
    </row>
    <row r="377">
      <c r="I377" s="9"/>
    </row>
    <row r="378">
      <c r="I378" s="9"/>
    </row>
    <row r="379">
      <c r="I379" s="9"/>
    </row>
    <row r="380">
      <c r="I380" s="9"/>
    </row>
    <row r="381">
      <c r="I381" s="9"/>
    </row>
    <row r="382">
      <c r="I382" s="9"/>
    </row>
    <row r="383">
      <c r="I383" s="9"/>
    </row>
    <row r="384">
      <c r="I384" s="9"/>
    </row>
    <row r="385">
      <c r="I385" s="9"/>
    </row>
    <row r="386">
      <c r="I386" s="9"/>
    </row>
    <row r="387">
      <c r="I387" s="9"/>
    </row>
    <row r="388">
      <c r="I388" s="9"/>
    </row>
    <row r="389">
      <c r="I389" s="9"/>
    </row>
    <row r="390">
      <c r="I390" s="9"/>
    </row>
    <row r="391">
      <c r="I391" s="9"/>
    </row>
    <row r="392">
      <c r="I392" s="9"/>
    </row>
    <row r="393">
      <c r="I393" s="9"/>
    </row>
    <row r="394">
      <c r="I394" s="9"/>
    </row>
    <row r="395">
      <c r="I395" s="9"/>
    </row>
    <row r="396">
      <c r="I396" s="9"/>
    </row>
    <row r="397">
      <c r="I397" s="9"/>
    </row>
    <row r="398">
      <c r="I398" s="9"/>
    </row>
    <row r="399">
      <c r="I399" s="9"/>
    </row>
    <row r="400">
      <c r="I400" s="9"/>
    </row>
    <row r="401">
      <c r="I401" s="9"/>
    </row>
    <row r="402">
      <c r="I402" s="9"/>
    </row>
    <row r="403">
      <c r="I403" s="9"/>
    </row>
    <row r="404">
      <c r="I404" s="9"/>
    </row>
    <row r="405">
      <c r="I405" s="9"/>
    </row>
    <row r="406">
      <c r="I406" s="9"/>
    </row>
    <row r="407">
      <c r="I407" s="9"/>
    </row>
    <row r="408">
      <c r="I408" s="9"/>
    </row>
    <row r="409">
      <c r="I409" s="9"/>
    </row>
    <row r="410">
      <c r="I410" s="9"/>
    </row>
    <row r="411">
      <c r="I411" s="9"/>
    </row>
    <row r="412">
      <c r="I412" s="9"/>
    </row>
    <row r="413">
      <c r="I413" s="9"/>
    </row>
    <row r="414">
      <c r="I414" s="9"/>
    </row>
    <row r="415">
      <c r="I415" s="9"/>
    </row>
    <row r="416">
      <c r="I416" s="9"/>
    </row>
    <row r="417">
      <c r="I417" s="9"/>
    </row>
    <row r="418">
      <c r="I418" s="9"/>
    </row>
    <row r="419">
      <c r="I419" s="9"/>
    </row>
    <row r="420">
      <c r="I420" s="9"/>
    </row>
    <row r="421">
      <c r="I421" s="9"/>
    </row>
    <row r="422">
      <c r="I422" s="9"/>
    </row>
    <row r="423">
      <c r="I423" s="9"/>
    </row>
    <row r="424">
      <c r="I424" s="9"/>
    </row>
    <row r="425">
      <c r="I425" s="9"/>
    </row>
    <row r="426">
      <c r="I426" s="9"/>
    </row>
    <row r="427">
      <c r="I427" s="9"/>
    </row>
    <row r="428">
      <c r="I428" s="9"/>
    </row>
    <row r="429">
      <c r="I429" s="9"/>
    </row>
    <row r="430">
      <c r="I430" s="9"/>
    </row>
    <row r="431">
      <c r="I431" s="9"/>
    </row>
    <row r="432">
      <c r="I432" s="9"/>
    </row>
    <row r="433">
      <c r="I433" s="9"/>
    </row>
    <row r="434">
      <c r="I434" s="9"/>
    </row>
    <row r="435">
      <c r="I435" s="9"/>
    </row>
    <row r="436">
      <c r="I436" s="9"/>
    </row>
    <row r="437">
      <c r="I437" s="9"/>
    </row>
    <row r="438">
      <c r="I438" s="9"/>
    </row>
    <row r="439">
      <c r="I439" s="9"/>
    </row>
    <row r="440">
      <c r="I440" s="9"/>
    </row>
    <row r="441">
      <c r="I441" s="9"/>
    </row>
    <row r="442">
      <c r="I442" s="9"/>
    </row>
    <row r="443">
      <c r="I443" s="9"/>
    </row>
    <row r="444">
      <c r="I444" s="9"/>
    </row>
    <row r="445">
      <c r="I445" s="9"/>
    </row>
    <row r="446">
      <c r="I446" s="9"/>
    </row>
    <row r="447">
      <c r="I447" s="9"/>
    </row>
    <row r="448">
      <c r="I448" s="9"/>
    </row>
    <row r="449">
      <c r="I449" s="9"/>
    </row>
    <row r="450">
      <c r="I450" s="9"/>
    </row>
    <row r="451">
      <c r="I451" s="9"/>
    </row>
    <row r="452">
      <c r="I452" s="9"/>
    </row>
    <row r="453">
      <c r="I453" s="9"/>
    </row>
    <row r="454">
      <c r="I454" s="9"/>
    </row>
    <row r="455">
      <c r="I455" s="9"/>
    </row>
    <row r="456">
      <c r="I456" s="9"/>
    </row>
    <row r="457">
      <c r="I457" s="9"/>
    </row>
    <row r="458">
      <c r="I458" s="9"/>
    </row>
    <row r="459">
      <c r="I459" s="9"/>
    </row>
    <row r="460">
      <c r="I460" s="9"/>
    </row>
    <row r="461">
      <c r="I461" s="9"/>
    </row>
    <row r="462">
      <c r="I462" s="9"/>
    </row>
    <row r="463">
      <c r="I463" s="9"/>
    </row>
    <row r="464">
      <c r="I464" s="9"/>
    </row>
    <row r="465">
      <c r="I465" s="9"/>
    </row>
    <row r="466">
      <c r="I466" s="9"/>
    </row>
    <row r="467">
      <c r="I467" s="9"/>
    </row>
    <row r="468">
      <c r="I468" s="9"/>
    </row>
    <row r="469">
      <c r="I469" s="9"/>
    </row>
    <row r="470">
      <c r="I470" s="9"/>
    </row>
    <row r="471">
      <c r="I471" s="9"/>
    </row>
    <row r="472">
      <c r="I472" s="9"/>
    </row>
    <row r="473">
      <c r="I473" s="9"/>
    </row>
    <row r="474">
      <c r="I474" s="9"/>
    </row>
    <row r="475">
      <c r="I475" s="9"/>
    </row>
    <row r="476">
      <c r="I476" s="9"/>
    </row>
    <row r="477">
      <c r="I477" s="9"/>
    </row>
    <row r="478">
      <c r="I478" s="9"/>
    </row>
    <row r="479">
      <c r="I479" s="9"/>
    </row>
    <row r="480">
      <c r="I480" s="9"/>
    </row>
    <row r="481">
      <c r="I481" s="9"/>
    </row>
    <row r="482">
      <c r="I482" s="9"/>
    </row>
    <row r="483">
      <c r="I483" s="9"/>
    </row>
    <row r="484">
      <c r="I484" s="9"/>
    </row>
    <row r="485">
      <c r="I485" s="9"/>
    </row>
    <row r="486">
      <c r="I486" s="9"/>
    </row>
    <row r="487">
      <c r="I487" s="9"/>
    </row>
    <row r="488">
      <c r="I488" s="9"/>
    </row>
    <row r="489">
      <c r="I489" s="9"/>
    </row>
    <row r="490">
      <c r="I490" s="9"/>
    </row>
    <row r="491">
      <c r="I491" s="9"/>
    </row>
    <row r="492">
      <c r="I492" s="9"/>
    </row>
    <row r="493">
      <c r="I493" s="9"/>
    </row>
    <row r="494">
      <c r="I494" s="9"/>
    </row>
    <row r="495">
      <c r="I495" s="9"/>
    </row>
    <row r="496">
      <c r="I496" s="9"/>
    </row>
    <row r="497">
      <c r="I497" s="9"/>
    </row>
    <row r="498">
      <c r="I498" s="9"/>
    </row>
    <row r="499">
      <c r="I499" s="9"/>
    </row>
    <row r="500">
      <c r="I500" s="9"/>
    </row>
    <row r="501">
      <c r="I501" s="9"/>
    </row>
    <row r="502">
      <c r="I502" s="9"/>
    </row>
    <row r="503">
      <c r="I503" s="9"/>
    </row>
    <row r="504">
      <c r="I504" s="9"/>
    </row>
    <row r="505">
      <c r="I505" s="9"/>
    </row>
    <row r="506">
      <c r="I506" s="9"/>
    </row>
    <row r="507">
      <c r="I507" s="9"/>
    </row>
    <row r="508">
      <c r="I508" s="9"/>
    </row>
    <row r="509">
      <c r="I509" s="9"/>
    </row>
    <row r="510">
      <c r="I510" s="9"/>
    </row>
    <row r="511">
      <c r="I511" s="9"/>
    </row>
    <row r="512">
      <c r="I512" s="9"/>
    </row>
    <row r="513">
      <c r="I513" s="9"/>
    </row>
    <row r="514">
      <c r="I514" s="9"/>
    </row>
    <row r="515">
      <c r="I515" s="9"/>
    </row>
    <row r="516">
      <c r="I516" s="9"/>
    </row>
    <row r="517">
      <c r="I517" s="9"/>
    </row>
    <row r="518">
      <c r="I518" s="9"/>
    </row>
    <row r="519">
      <c r="I519" s="9"/>
    </row>
    <row r="520">
      <c r="I520" s="9"/>
    </row>
    <row r="521">
      <c r="I521" s="9"/>
    </row>
    <row r="522">
      <c r="I522" s="9"/>
    </row>
    <row r="523">
      <c r="I523" s="9"/>
    </row>
    <row r="524">
      <c r="I524" s="9"/>
    </row>
    <row r="525">
      <c r="I525" s="9"/>
    </row>
    <row r="526">
      <c r="I526" s="9"/>
    </row>
    <row r="527">
      <c r="I527" s="9"/>
    </row>
    <row r="528">
      <c r="I528" s="9"/>
    </row>
    <row r="529">
      <c r="I529" s="9"/>
    </row>
    <row r="530">
      <c r="I530" s="9"/>
    </row>
    <row r="531">
      <c r="I531" s="9"/>
    </row>
    <row r="532">
      <c r="I532" s="9"/>
    </row>
    <row r="533">
      <c r="I533" s="9"/>
    </row>
    <row r="534">
      <c r="I534" s="9"/>
    </row>
    <row r="535">
      <c r="I535" s="9"/>
    </row>
    <row r="536">
      <c r="I536" s="9"/>
    </row>
    <row r="537">
      <c r="I537" s="9"/>
    </row>
    <row r="538">
      <c r="I538" s="9"/>
    </row>
    <row r="539">
      <c r="I539" s="9"/>
    </row>
    <row r="540">
      <c r="I540" s="9"/>
    </row>
    <row r="541">
      <c r="I541" s="9"/>
    </row>
    <row r="542">
      <c r="I542" s="9"/>
    </row>
    <row r="543">
      <c r="I543" s="9"/>
    </row>
    <row r="544">
      <c r="I544" s="9"/>
    </row>
    <row r="545">
      <c r="I545" s="9"/>
    </row>
    <row r="546">
      <c r="I546" s="9"/>
    </row>
    <row r="547">
      <c r="I547" s="9"/>
    </row>
    <row r="548">
      <c r="I548" s="9"/>
    </row>
    <row r="549">
      <c r="I549" s="9"/>
    </row>
    <row r="550">
      <c r="I550" s="9"/>
    </row>
    <row r="551">
      <c r="I551" s="9"/>
    </row>
    <row r="552">
      <c r="I552" s="9"/>
    </row>
    <row r="553">
      <c r="I553" s="9"/>
    </row>
    <row r="554">
      <c r="I554" s="9"/>
    </row>
    <row r="555">
      <c r="I555" s="9"/>
    </row>
    <row r="556">
      <c r="I556" s="9"/>
    </row>
    <row r="557">
      <c r="I557" s="9"/>
    </row>
    <row r="558">
      <c r="I558" s="9"/>
    </row>
    <row r="559">
      <c r="I559" s="9"/>
    </row>
    <row r="560">
      <c r="I560" s="9"/>
    </row>
    <row r="561">
      <c r="I561" s="9"/>
    </row>
    <row r="562">
      <c r="I562" s="9"/>
    </row>
    <row r="563">
      <c r="I563" s="9"/>
    </row>
    <row r="564">
      <c r="I564" s="9"/>
    </row>
    <row r="565">
      <c r="I565" s="9"/>
    </row>
    <row r="566">
      <c r="I566" s="9"/>
    </row>
    <row r="567">
      <c r="I567" s="9"/>
    </row>
    <row r="568">
      <c r="I568" s="9"/>
    </row>
    <row r="569">
      <c r="I569" s="9"/>
    </row>
    <row r="570">
      <c r="I570" s="9"/>
    </row>
    <row r="571">
      <c r="I571" s="9"/>
    </row>
    <row r="572">
      <c r="I572" s="9"/>
    </row>
    <row r="573">
      <c r="I573" s="9"/>
    </row>
    <row r="574">
      <c r="I574" s="9"/>
    </row>
    <row r="575">
      <c r="I575" s="9"/>
    </row>
    <row r="576">
      <c r="I576" s="9"/>
    </row>
    <row r="577">
      <c r="I577" s="9"/>
    </row>
    <row r="578">
      <c r="I578" s="9"/>
    </row>
    <row r="579">
      <c r="I579" s="9"/>
    </row>
    <row r="580">
      <c r="I580" s="9"/>
    </row>
    <row r="581">
      <c r="I581" s="9"/>
    </row>
    <row r="582">
      <c r="I582" s="9"/>
    </row>
    <row r="583">
      <c r="I583" s="9"/>
    </row>
    <row r="584">
      <c r="I584" s="9"/>
    </row>
    <row r="585">
      <c r="I585" s="9"/>
    </row>
    <row r="586">
      <c r="I586" s="9"/>
    </row>
    <row r="587">
      <c r="I587" s="9"/>
    </row>
    <row r="588">
      <c r="I588" s="9"/>
    </row>
    <row r="589">
      <c r="I589" s="9"/>
    </row>
    <row r="590">
      <c r="I590" s="9"/>
    </row>
    <row r="591">
      <c r="I591" s="9"/>
    </row>
    <row r="592">
      <c r="I592" s="9"/>
    </row>
    <row r="593">
      <c r="I593" s="9"/>
    </row>
    <row r="594">
      <c r="I594" s="9"/>
    </row>
    <row r="595">
      <c r="I595" s="9"/>
    </row>
    <row r="596">
      <c r="I596" s="9"/>
    </row>
    <row r="597">
      <c r="I597" s="9"/>
    </row>
    <row r="598">
      <c r="I598" s="9"/>
    </row>
    <row r="599">
      <c r="I599" s="9"/>
    </row>
    <row r="600">
      <c r="I600" s="9"/>
    </row>
    <row r="601">
      <c r="I601" s="9"/>
    </row>
    <row r="602">
      <c r="I602" s="9"/>
    </row>
    <row r="603">
      <c r="I603" s="9"/>
    </row>
    <row r="604">
      <c r="I604" s="9"/>
    </row>
    <row r="605">
      <c r="I605" s="9"/>
    </row>
    <row r="606">
      <c r="I606" s="9"/>
    </row>
    <row r="607">
      <c r="I607" s="9"/>
    </row>
    <row r="608">
      <c r="I608" s="9"/>
    </row>
    <row r="609">
      <c r="I609" s="9"/>
    </row>
    <row r="610">
      <c r="I610" s="9"/>
    </row>
    <row r="611">
      <c r="I611" s="9"/>
    </row>
    <row r="612">
      <c r="I612" s="9"/>
    </row>
    <row r="613">
      <c r="I613" s="9"/>
    </row>
    <row r="614">
      <c r="I614" s="9"/>
    </row>
    <row r="615">
      <c r="I615" s="9"/>
    </row>
    <row r="616">
      <c r="I616" s="9"/>
    </row>
    <row r="617">
      <c r="I617" s="9"/>
    </row>
    <row r="618">
      <c r="I618" s="9"/>
    </row>
    <row r="619">
      <c r="I619" s="9"/>
    </row>
    <row r="620">
      <c r="I620" s="9"/>
    </row>
    <row r="621">
      <c r="I621" s="9"/>
    </row>
    <row r="622">
      <c r="I622" s="9"/>
    </row>
    <row r="623">
      <c r="I623" s="9"/>
    </row>
    <row r="624">
      <c r="I624" s="9"/>
    </row>
    <row r="625">
      <c r="I625" s="9"/>
    </row>
    <row r="626">
      <c r="I626" s="9"/>
    </row>
    <row r="627">
      <c r="I627" s="9"/>
    </row>
    <row r="628">
      <c r="I628" s="9"/>
    </row>
    <row r="629">
      <c r="I629" s="9"/>
    </row>
    <row r="630">
      <c r="I630" s="9"/>
    </row>
    <row r="631">
      <c r="I631" s="9"/>
    </row>
    <row r="632">
      <c r="I632" s="9"/>
    </row>
    <row r="633">
      <c r="I633" s="9"/>
    </row>
    <row r="634">
      <c r="I634" s="9"/>
    </row>
    <row r="635">
      <c r="I635" s="9"/>
    </row>
    <row r="636">
      <c r="I636" s="9"/>
    </row>
    <row r="637">
      <c r="I637" s="9"/>
    </row>
    <row r="638">
      <c r="I638" s="9"/>
    </row>
    <row r="639">
      <c r="I639" s="9"/>
    </row>
    <row r="640">
      <c r="I640" s="9"/>
    </row>
    <row r="641">
      <c r="I641" s="9"/>
    </row>
    <row r="642">
      <c r="I642" s="9"/>
    </row>
    <row r="643">
      <c r="I643" s="9"/>
    </row>
    <row r="644">
      <c r="I644" s="9"/>
    </row>
    <row r="645">
      <c r="I645" s="9"/>
    </row>
    <row r="646">
      <c r="I646" s="9"/>
    </row>
    <row r="647">
      <c r="I647" s="9"/>
    </row>
    <row r="648">
      <c r="I648" s="9"/>
    </row>
    <row r="649">
      <c r="I649" s="9"/>
    </row>
    <row r="650">
      <c r="I650" s="9"/>
    </row>
    <row r="651">
      <c r="I651" s="9"/>
    </row>
    <row r="652">
      <c r="I652" s="9"/>
    </row>
    <row r="653">
      <c r="I653" s="9"/>
    </row>
    <row r="654">
      <c r="I654" s="9"/>
    </row>
    <row r="655">
      <c r="I655" s="9"/>
    </row>
    <row r="656">
      <c r="I656" s="9"/>
    </row>
    <row r="657">
      <c r="I657" s="9"/>
    </row>
    <row r="658">
      <c r="I658" s="9"/>
    </row>
    <row r="659">
      <c r="I659" s="9"/>
    </row>
    <row r="660">
      <c r="I660" s="9"/>
    </row>
    <row r="661">
      <c r="I661" s="9"/>
    </row>
    <row r="662">
      <c r="I662" s="9"/>
    </row>
    <row r="663">
      <c r="I663" s="9"/>
    </row>
    <row r="664">
      <c r="I664" s="9"/>
    </row>
    <row r="665">
      <c r="I665" s="9"/>
    </row>
    <row r="666">
      <c r="I666" s="9"/>
    </row>
    <row r="667">
      <c r="I667" s="9"/>
    </row>
    <row r="668">
      <c r="I668" s="9"/>
    </row>
    <row r="669">
      <c r="I669" s="9"/>
    </row>
    <row r="670">
      <c r="I670" s="9"/>
    </row>
    <row r="671">
      <c r="I671" s="9"/>
    </row>
    <row r="672">
      <c r="I672" s="9"/>
    </row>
    <row r="673">
      <c r="I673" s="9"/>
    </row>
    <row r="674">
      <c r="I674" s="9"/>
    </row>
    <row r="675">
      <c r="I675" s="9"/>
    </row>
    <row r="676">
      <c r="I676" s="9"/>
    </row>
    <row r="677">
      <c r="I677" s="9"/>
    </row>
    <row r="678">
      <c r="I678" s="9"/>
    </row>
    <row r="679">
      <c r="I679" s="9"/>
    </row>
    <row r="680">
      <c r="I680" s="9"/>
    </row>
    <row r="681">
      <c r="I681" s="9"/>
    </row>
    <row r="682">
      <c r="I682" s="9"/>
    </row>
    <row r="683">
      <c r="I683" s="9"/>
    </row>
    <row r="684">
      <c r="I684" s="9"/>
    </row>
    <row r="685">
      <c r="I685" s="9"/>
    </row>
    <row r="686">
      <c r="I686" s="9"/>
    </row>
    <row r="687">
      <c r="I687" s="9"/>
    </row>
    <row r="688">
      <c r="I688" s="9"/>
    </row>
    <row r="689">
      <c r="I689" s="9"/>
    </row>
    <row r="690">
      <c r="I690" s="9"/>
    </row>
    <row r="691">
      <c r="I691" s="9"/>
    </row>
    <row r="692">
      <c r="I692" s="9"/>
    </row>
    <row r="693">
      <c r="I693" s="9"/>
    </row>
    <row r="694">
      <c r="I694" s="9"/>
    </row>
    <row r="695">
      <c r="I695" s="9"/>
    </row>
    <row r="696">
      <c r="I696" s="9"/>
    </row>
    <row r="697">
      <c r="I697" s="9"/>
    </row>
    <row r="698">
      <c r="I698" s="9"/>
    </row>
    <row r="699">
      <c r="I699" s="9"/>
    </row>
    <row r="700">
      <c r="I700" s="9"/>
    </row>
    <row r="701">
      <c r="I701" s="9"/>
    </row>
    <row r="702">
      <c r="I702" s="9"/>
    </row>
    <row r="703">
      <c r="I703" s="9"/>
    </row>
    <row r="704">
      <c r="I704" s="9"/>
    </row>
    <row r="705">
      <c r="I705" s="9"/>
    </row>
    <row r="706">
      <c r="I706" s="9"/>
    </row>
    <row r="707">
      <c r="I707" s="9"/>
    </row>
    <row r="708">
      <c r="I708" s="9"/>
    </row>
    <row r="709">
      <c r="I709" s="9"/>
    </row>
    <row r="710">
      <c r="I710" s="9"/>
    </row>
    <row r="711">
      <c r="I711" s="9"/>
    </row>
    <row r="712">
      <c r="I712" s="9"/>
    </row>
    <row r="713">
      <c r="I713" s="9"/>
    </row>
    <row r="714">
      <c r="I714" s="9"/>
    </row>
    <row r="715">
      <c r="I715" s="9"/>
    </row>
    <row r="716">
      <c r="I716" s="9"/>
    </row>
    <row r="717">
      <c r="I717" s="9"/>
    </row>
    <row r="718">
      <c r="I718" s="9"/>
    </row>
    <row r="719">
      <c r="I719" s="9"/>
    </row>
    <row r="720">
      <c r="I720" s="9"/>
    </row>
    <row r="721">
      <c r="I721" s="9"/>
    </row>
    <row r="722">
      <c r="I722" s="9"/>
    </row>
    <row r="723">
      <c r="I723" s="9"/>
    </row>
    <row r="724">
      <c r="I724" s="9"/>
    </row>
    <row r="725">
      <c r="I725" s="9"/>
    </row>
    <row r="726">
      <c r="I726" s="9"/>
    </row>
    <row r="727">
      <c r="I727" s="9"/>
    </row>
    <row r="728">
      <c r="I728" s="9"/>
    </row>
    <row r="729">
      <c r="I729" s="9"/>
    </row>
    <row r="730">
      <c r="I730" s="9"/>
    </row>
    <row r="731">
      <c r="I731" s="9"/>
    </row>
    <row r="732">
      <c r="I732" s="9"/>
    </row>
    <row r="733">
      <c r="I733" s="9"/>
    </row>
    <row r="734">
      <c r="I734" s="9"/>
    </row>
    <row r="735">
      <c r="I735" s="9"/>
    </row>
    <row r="736">
      <c r="I736" s="9"/>
    </row>
    <row r="737">
      <c r="I737" s="9"/>
    </row>
    <row r="738">
      <c r="I738" s="9"/>
    </row>
    <row r="739">
      <c r="I739" s="9"/>
    </row>
    <row r="740">
      <c r="I740" s="9"/>
    </row>
    <row r="741">
      <c r="I741" s="9"/>
    </row>
    <row r="742">
      <c r="I742" s="9"/>
    </row>
    <row r="743">
      <c r="I743" s="9"/>
    </row>
    <row r="744">
      <c r="I744" s="9"/>
    </row>
    <row r="745">
      <c r="I745" s="9"/>
    </row>
    <row r="746">
      <c r="I746" s="9"/>
    </row>
    <row r="747">
      <c r="I747" s="9"/>
    </row>
    <row r="748">
      <c r="I748" s="9"/>
    </row>
    <row r="749">
      <c r="I749" s="9"/>
    </row>
    <row r="750">
      <c r="I750" s="9"/>
    </row>
    <row r="751">
      <c r="I751" s="9"/>
    </row>
    <row r="752">
      <c r="I752" s="9"/>
    </row>
    <row r="753">
      <c r="I753" s="9"/>
    </row>
    <row r="754">
      <c r="I754" s="9"/>
    </row>
    <row r="755">
      <c r="I755" s="9"/>
    </row>
    <row r="756">
      <c r="I756" s="9"/>
    </row>
    <row r="757">
      <c r="I757" s="9"/>
    </row>
    <row r="758">
      <c r="I758" s="9"/>
    </row>
    <row r="759">
      <c r="I759" s="9"/>
    </row>
    <row r="760">
      <c r="I760" s="9"/>
    </row>
    <row r="761">
      <c r="I761" s="9"/>
    </row>
    <row r="762">
      <c r="I762" s="9"/>
    </row>
    <row r="763">
      <c r="I763" s="9"/>
    </row>
    <row r="764">
      <c r="I764" s="9"/>
    </row>
    <row r="765">
      <c r="I765" s="9"/>
    </row>
    <row r="766">
      <c r="I766" s="9"/>
    </row>
    <row r="767">
      <c r="I767" s="9"/>
    </row>
    <row r="768">
      <c r="I768" s="9"/>
    </row>
    <row r="769">
      <c r="I769" s="9"/>
    </row>
    <row r="770">
      <c r="I770" s="9"/>
    </row>
    <row r="771">
      <c r="I771" s="9"/>
    </row>
    <row r="772">
      <c r="I772" s="9"/>
    </row>
    <row r="773">
      <c r="I773" s="9"/>
    </row>
    <row r="774">
      <c r="I774" s="9"/>
    </row>
    <row r="775">
      <c r="I775" s="9"/>
    </row>
    <row r="776">
      <c r="I776" s="9"/>
    </row>
    <row r="777">
      <c r="I777" s="9"/>
    </row>
    <row r="778">
      <c r="I778" s="9"/>
    </row>
    <row r="779">
      <c r="I779" s="9"/>
    </row>
    <row r="780">
      <c r="I780" s="9"/>
    </row>
    <row r="781">
      <c r="I781" s="9"/>
    </row>
    <row r="782">
      <c r="I782" s="9"/>
    </row>
    <row r="783">
      <c r="I783" s="9"/>
    </row>
    <row r="784">
      <c r="I784" s="9"/>
    </row>
    <row r="785">
      <c r="I785" s="9"/>
    </row>
    <row r="786">
      <c r="I786" s="9"/>
    </row>
    <row r="787">
      <c r="I787" s="9"/>
    </row>
    <row r="788">
      <c r="I788" s="9"/>
    </row>
    <row r="789">
      <c r="I789" s="9"/>
    </row>
    <row r="790">
      <c r="I790" s="9"/>
    </row>
    <row r="791">
      <c r="I791" s="9"/>
    </row>
    <row r="792">
      <c r="I792" s="9"/>
    </row>
    <row r="793">
      <c r="I793" s="9"/>
    </row>
    <row r="794">
      <c r="I794" s="9"/>
    </row>
    <row r="795">
      <c r="I795" s="9"/>
    </row>
    <row r="796">
      <c r="I796" s="9"/>
    </row>
    <row r="797">
      <c r="I797" s="9"/>
    </row>
    <row r="798">
      <c r="I798" s="9"/>
    </row>
    <row r="799">
      <c r="I799" s="9"/>
    </row>
    <row r="800">
      <c r="I800" s="9"/>
    </row>
    <row r="801">
      <c r="I801" s="9"/>
    </row>
    <row r="802">
      <c r="I802" s="9"/>
    </row>
    <row r="803">
      <c r="I803" s="9"/>
    </row>
    <row r="804">
      <c r="I804" s="9"/>
    </row>
    <row r="805">
      <c r="I805" s="9"/>
    </row>
    <row r="806">
      <c r="I806" s="9"/>
    </row>
    <row r="807">
      <c r="I807" s="9"/>
    </row>
    <row r="808">
      <c r="I808" s="9"/>
    </row>
    <row r="809">
      <c r="I809" s="9"/>
    </row>
    <row r="810">
      <c r="I810" s="9"/>
    </row>
    <row r="811">
      <c r="I811" s="9"/>
    </row>
    <row r="812">
      <c r="I812" s="9"/>
    </row>
    <row r="813">
      <c r="I813" s="9"/>
    </row>
    <row r="814">
      <c r="I814" s="9"/>
    </row>
    <row r="815">
      <c r="I815" s="9"/>
    </row>
    <row r="816">
      <c r="I816" s="9"/>
    </row>
    <row r="817">
      <c r="I817" s="9"/>
    </row>
    <row r="818">
      <c r="I818" s="9"/>
    </row>
    <row r="819">
      <c r="I819" s="9"/>
    </row>
    <row r="820">
      <c r="I820" s="9"/>
    </row>
    <row r="821">
      <c r="I821" s="9"/>
    </row>
    <row r="822">
      <c r="I822" s="9"/>
    </row>
    <row r="823">
      <c r="I823" s="9"/>
    </row>
    <row r="824">
      <c r="I824" s="9"/>
    </row>
    <row r="825">
      <c r="I825" s="9"/>
    </row>
    <row r="826">
      <c r="I826" s="9"/>
    </row>
    <row r="827">
      <c r="I827" s="9"/>
    </row>
    <row r="828">
      <c r="I828" s="9"/>
    </row>
    <row r="829">
      <c r="I829" s="9"/>
    </row>
    <row r="830">
      <c r="I830" s="9"/>
    </row>
    <row r="831">
      <c r="I831" s="9"/>
    </row>
    <row r="832">
      <c r="I832" s="9"/>
    </row>
    <row r="833">
      <c r="I833" s="9"/>
    </row>
    <row r="834">
      <c r="I834" s="9"/>
    </row>
    <row r="835">
      <c r="I835" s="9"/>
    </row>
    <row r="836">
      <c r="I836" s="9"/>
    </row>
    <row r="837">
      <c r="I837" s="9"/>
    </row>
    <row r="838">
      <c r="I838" s="9"/>
    </row>
    <row r="839">
      <c r="I839" s="9"/>
    </row>
    <row r="840">
      <c r="I840" s="9"/>
    </row>
    <row r="841">
      <c r="I841" s="9"/>
    </row>
    <row r="842">
      <c r="I842" s="9"/>
    </row>
    <row r="843">
      <c r="I843" s="9"/>
    </row>
    <row r="844">
      <c r="I844" s="9"/>
    </row>
    <row r="845">
      <c r="I845" s="9"/>
    </row>
    <row r="846">
      <c r="I846" s="9"/>
    </row>
    <row r="847">
      <c r="I847" s="9"/>
    </row>
    <row r="848">
      <c r="I848" s="9"/>
    </row>
    <row r="849">
      <c r="I849" s="9"/>
    </row>
    <row r="850">
      <c r="I850" s="9"/>
    </row>
    <row r="851">
      <c r="I851" s="9"/>
    </row>
    <row r="852">
      <c r="I852" s="9"/>
    </row>
    <row r="853">
      <c r="I853" s="9"/>
    </row>
    <row r="854">
      <c r="I854" s="9"/>
    </row>
    <row r="855">
      <c r="I855" s="9"/>
    </row>
    <row r="856">
      <c r="I856" s="9"/>
    </row>
    <row r="857">
      <c r="I857" s="9"/>
    </row>
    <row r="858">
      <c r="I858" s="9"/>
    </row>
    <row r="859">
      <c r="I859" s="9"/>
    </row>
    <row r="860">
      <c r="I860" s="9"/>
    </row>
    <row r="861">
      <c r="I861" s="9"/>
    </row>
    <row r="862">
      <c r="I862" s="9"/>
    </row>
    <row r="863">
      <c r="I863" s="9"/>
    </row>
    <row r="864">
      <c r="I864" s="9"/>
    </row>
    <row r="865">
      <c r="I865" s="9"/>
    </row>
    <row r="866">
      <c r="I866" s="9"/>
    </row>
    <row r="867">
      <c r="I867" s="9"/>
    </row>
    <row r="868">
      <c r="I868" s="9"/>
    </row>
    <row r="869">
      <c r="I869" s="9"/>
    </row>
    <row r="870">
      <c r="I870" s="9"/>
    </row>
    <row r="871">
      <c r="I871" s="9"/>
    </row>
    <row r="872">
      <c r="I872" s="9"/>
    </row>
    <row r="873">
      <c r="I873" s="9"/>
    </row>
    <row r="874">
      <c r="I874" s="9"/>
    </row>
    <row r="875">
      <c r="I875" s="9"/>
    </row>
    <row r="876">
      <c r="I876" s="9"/>
    </row>
    <row r="877">
      <c r="I877" s="9"/>
    </row>
    <row r="878">
      <c r="I878" s="9"/>
    </row>
    <row r="879">
      <c r="I879" s="9"/>
    </row>
    <row r="880">
      <c r="I880" s="9"/>
    </row>
    <row r="881">
      <c r="I881" s="9"/>
    </row>
    <row r="882">
      <c r="I882" s="9"/>
    </row>
    <row r="883">
      <c r="I883" s="9"/>
    </row>
    <row r="884">
      <c r="I884" s="9"/>
    </row>
    <row r="885">
      <c r="I885" s="9"/>
    </row>
    <row r="886">
      <c r="I886" s="9"/>
    </row>
    <row r="887">
      <c r="I887" s="9"/>
    </row>
    <row r="888">
      <c r="I888" s="9"/>
    </row>
    <row r="889">
      <c r="I889" s="9"/>
    </row>
    <row r="890">
      <c r="I890" s="9"/>
    </row>
    <row r="891">
      <c r="I891" s="9"/>
    </row>
    <row r="892">
      <c r="I892" s="9"/>
    </row>
    <row r="893">
      <c r="I893" s="9"/>
    </row>
    <row r="894">
      <c r="I894" s="9"/>
    </row>
    <row r="895">
      <c r="I895" s="9"/>
    </row>
    <row r="896">
      <c r="I896" s="9"/>
    </row>
    <row r="897">
      <c r="I897" s="9"/>
    </row>
    <row r="898">
      <c r="I898" s="9"/>
    </row>
    <row r="899">
      <c r="I899" s="9"/>
    </row>
    <row r="900">
      <c r="I900" s="9"/>
    </row>
    <row r="901">
      <c r="I901" s="9"/>
    </row>
    <row r="902">
      <c r="I902" s="9"/>
    </row>
    <row r="903">
      <c r="I903" s="9"/>
    </row>
    <row r="904">
      <c r="I904" s="9"/>
    </row>
    <row r="905">
      <c r="I905" s="9"/>
    </row>
    <row r="906">
      <c r="I906" s="9"/>
    </row>
    <row r="907">
      <c r="I907" s="9"/>
    </row>
    <row r="908">
      <c r="I908" s="9"/>
    </row>
    <row r="909">
      <c r="I909" s="9"/>
    </row>
    <row r="910">
      <c r="I910" s="9"/>
    </row>
    <row r="911">
      <c r="I911" s="9"/>
    </row>
    <row r="912">
      <c r="I912" s="9"/>
    </row>
    <row r="913">
      <c r="I913" s="9"/>
    </row>
    <row r="914">
      <c r="I914" s="9"/>
    </row>
    <row r="915">
      <c r="I915" s="9"/>
    </row>
    <row r="916">
      <c r="I916" s="9"/>
    </row>
    <row r="917">
      <c r="I917" s="9"/>
    </row>
    <row r="918">
      <c r="I918" s="9"/>
    </row>
    <row r="919">
      <c r="I919" s="9"/>
    </row>
    <row r="920">
      <c r="I920" s="9"/>
    </row>
    <row r="921">
      <c r="I921" s="9"/>
    </row>
    <row r="922">
      <c r="I922" s="9"/>
    </row>
    <row r="923">
      <c r="I923" s="9"/>
    </row>
    <row r="924">
      <c r="I924" s="9"/>
    </row>
    <row r="925">
      <c r="I925" s="9"/>
    </row>
    <row r="926">
      <c r="I926" s="9"/>
    </row>
    <row r="927">
      <c r="I927" s="9"/>
    </row>
    <row r="928">
      <c r="I928" s="9"/>
    </row>
    <row r="929">
      <c r="I929" s="9"/>
    </row>
    <row r="930">
      <c r="I930" s="9"/>
    </row>
    <row r="931">
      <c r="I931" s="9"/>
    </row>
    <row r="932">
      <c r="I932" s="9"/>
    </row>
    <row r="933">
      <c r="I933" s="9"/>
    </row>
    <row r="934">
      <c r="I934" s="9"/>
    </row>
    <row r="935">
      <c r="I935" s="9"/>
    </row>
    <row r="936">
      <c r="I936" s="9"/>
    </row>
    <row r="937">
      <c r="I937" s="9"/>
    </row>
    <row r="938">
      <c r="I938" s="9"/>
    </row>
    <row r="939">
      <c r="I939" s="9"/>
    </row>
    <row r="940">
      <c r="I940" s="9"/>
    </row>
    <row r="941">
      <c r="I941" s="9"/>
    </row>
    <row r="942">
      <c r="I942" s="9"/>
    </row>
    <row r="943">
      <c r="I943" s="9"/>
    </row>
    <row r="944">
      <c r="I944" s="9"/>
    </row>
    <row r="945">
      <c r="I945" s="9"/>
    </row>
    <row r="946">
      <c r="I946" s="9"/>
    </row>
    <row r="947">
      <c r="I947" s="9"/>
    </row>
    <row r="948">
      <c r="I948" s="9"/>
    </row>
    <row r="949">
      <c r="I949" s="9"/>
    </row>
    <row r="950">
      <c r="I950" s="9"/>
    </row>
    <row r="951">
      <c r="I951" s="9"/>
    </row>
    <row r="952">
      <c r="I952" s="9"/>
    </row>
    <row r="953">
      <c r="I953" s="9"/>
    </row>
    <row r="954">
      <c r="I954" s="9"/>
    </row>
    <row r="955">
      <c r="I955" s="9"/>
    </row>
    <row r="956">
      <c r="I956" s="9"/>
    </row>
    <row r="957">
      <c r="I957" s="9"/>
    </row>
    <row r="958">
      <c r="I958" s="9"/>
    </row>
    <row r="959">
      <c r="I959" s="9"/>
    </row>
    <row r="960">
      <c r="I960" s="9"/>
    </row>
    <row r="961">
      <c r="I961" s="9"/>
    </row>
    <row r="962">
      <c r="I962" s="9"/>
    </row>
    <row r="963">
      <c r="I963" s="9"/>
    </row>
    <row r="964">
      <c r="I964" s="9"/>
    </row>
    <row r="965">
      <c r="I965" s="9"/>
    </row>
    <row r="966">
      <c r="I966" s="9"/>
    </row>
    <row r="967">
      <c r="I967" s="9"/>
    </row>
    <row r="968">
      <c r="I968" s="9"/>
    </row>
    <row r="969">
      <c r="I969" s="9"/>
    </row>
    <row r="970">
      <c r="I970" s="9"/>
    </row>
    <row r="971">
      <c r="I971" s="9"/>
    </row>
    <row r="972">
      <c r="I972" s="9"/>
    </row>
    <row r="973">
      <c r="I973" s="9"/>
    </row>
    <row r="974">
      <c r="I974" s="9"/>
    </row>
    <row r="975">
      <c r="I975" s="9"/>
    </row>
    <row r="976">
      <c r="I976" s="9"/>
    </row>
    <row r="977">
      <c r="I977" s="9"/>
    </row>
    <row r="978">
      <c r="I978" s="9"/>
    </row>
    <row r="979">
      <c r="I979" s="9"/>
    </row>
    <row r="980">
      <c r="I980" s="9"/>
    </row>
    <row r="981">
      <c r="I981" s="9"/>
    </row>
    <row r="982">
      <c r="I982" s="9"/>
    </row>
    <row r="983">
      <c r="I983" s="9"/>
    </row>
    <row r="984">
      <c r="I984" s="9"/>
    </row>
    <row r="985">
      <c r="I985" s="9"/>
    </row>
    <row r="986">
      <c r="I986" s="9"/>
    </row>
    <row r="987">
      <c r="I987" s="9"/>
    </row>
    <row r="988">
      <c r="I988" s="9"/>
    </row>
    <row r="989">
      <c r="I989" s="9"/>
    </row>
    <row r="990">
      <c r="I990" s="9"/>
    </row>
    <row r="991">
      <c r="I991" s="9"/>
    </row>
    <row r="992">
      <c r="I992" s="9"/>
    </row>
    <row r="993">
      <c r="I993" s="9"/>
    </row>
    <row r="994">
      <c r="I994" s="9"/>
    </row>
    <row r="995">
      <c r="I995" s="9"/>
    </row>
    <row r="996">
      <c r="I996" s="9"/>
    </row>
    <row r="997">
      <c r="I997" s="9"/>
    </row>
    <row r="998">
      <c r="I998" s="9"/>
    </row>
    <row r="999">
      <c r="I999" s="9"/>
    </row>
    <row r="1000">
      <c r="I1000" s="9"/>
    </row>
    <row r="1001">
      <c r="I1001" s="9"/>
    </row>
    <row r="1002">
      <c r="I1002" s="9"/>
    </row>
  </sheetData>
  <mergeCells count="62">
    <mergeCell ref="C35:H35"/>
    <mergeCell ref="I35:J35"/>
    <mergeCell ref="C36:H36"/>
    <mergeCell ref="I36:J36"/>
    <mergeCell ref="C37:H37"/>
    <mergeCell ref="I37:J37"/>
    <mergeCell ref="I38:J38"/>
    <mergeCell ref="C38:H38"/>
    <mergeCell ref="C39:H39"/>
    <mergeCell ref="I39:J39"/>
    <mergeCell ref="C40:H40"/>
    <mergeCell ref="I40:J40"/>
    <mergeCell ref="C41:H41"/>
    <mergeCell ref="I41:J41"/>
    <mergeCell ref="C3:H3"/>
    <mergeCell ref="I3:J3"/>
    <mergeCell ref="C4:H4"/>
    <mergeCell ref="C5:H5"/>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 ref="C20:H20"/>
    <mergeCell ref="C21:H21"/>
    <mergeCell ref="C22:H22"/>
    <mergeCell ref="C23:H23"/>
    <mergeCell ref="C24:H24"/>
    <mergeCell ref="C25:H25"/>
    <mergeCell ref="C26:H26"/>
    <mergeCell ref="I26:J26"/>
    <mergeCell ref="C27:H27"/>
    <mergeCell ref="I27:J27"/>
    <mergeCell ref="C28:H28"/>
    <mergeCell ref="I28:J28"/>
    <mergeCell ref="C29:H29"/>
    <mergeCell ref="I29:J29"/>
    <mergeCell ref="C30:H30"/>
    <mergeCell ref="I30:J30"/>
    <mergeCell ref="I31:J31"/>
    <mergeCell ref="C31:H31"/>
    <mergeCell ref="C32:H32"/>
    <mergeCell ref="I32:J32"/>
    <mergeCell ref="C33:H33"/>
    <mergeCell ref="I33:J33"/>
    <mergeCell ref="C34:H34"/>
    <mergeCell ref="I34:J34"/>
    <mergeCell ref="C42:H42"/>
    <mergeCell ref="I42:J42"/>
    <mergeCell ref="C43:H43"/>
    <mergeCell ref="I43:J43"/>
    <mergeCell ref="C44:H44"/>
    <mergeCell ref="I44:J4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2.75"/>
  <cols>
    <col customWidth="1" min="2" max="2" width="19.88"/>
    <col customWidth="1" min="5" max="5" width="12.0"/>
    <col customWidth="1" min="6" max="6" width="7.5"/>
    <col customWidth="1" min="7" max="7" width="10.5"/>
    <col customWidth="1" min="8" max="10" width="5.88"/>
    <col customWidth="1" min="11" max="11" width="11.0"/>
    <col customWidth="1" min="12" max="12" width="11.75"/>
    <col customWidth="1" min="13" max="13" width="11.38"/>
    <col customWidth="1" min="14" max="14" width="8.25"/>
    <col customWidth="1" min="15" max="15" width="5.75"/>
    <col customWidth="1" min="16" max="17" width="7.38"/>
    <col customWidth="1" min="18" max="18" width="7.13"/>
    <col customWidth="1" min="19" max="19" width="12.63"/>
    <col customWidth="1" min="20" max="20" width="10.5"/>
    <col customWidth="1" min="21" max="21" width="9.13"/>
  </cols>
  <sheetData>
    <row r="1">
      <c r="A1" s="72" t="s">
        <v>74</v>
      </c>
      <c r="B1" s="72" t="str">
        <f>#REF!</f>
        <v>#REF!</v>
      </c>
      <c r="C1" s="72" t="str">
        <f>GRUPS!E1</f>
        <v>TUTOR</v>
      </c>
      <c r="D1" s="72" t="str">
        <f>GRUPS!F1</f>
        <v>AULA</v>
      </c>
      <c r="E1" s="84" t="s">
        <v>88</v>
      </c>
      <c r="F1" s="84" t="s">
        <v>89</v>
      </c>
      <c r="G1" s="84" t="s">
        <v>90</v>
      </c>
      <c r="H1" s="84" t="s">
        <v>91</v>
      </c>
      <c r="I1" s="84" t="s">
        <v>92</v>
      </c>
      <c r="J1" s="84" t="s">
        <v>94</v>
      </c>
      <c r="K1" s="87" t="s">
        <v>95</v>
      </c>
      <c r="L1" s="84" t="s">
        <v>97</v>
      </c>
      <c r="M1" s="84" t="s">
        <v>98</v>
      </c>
      <c r="N1" s="90" t="s">
        <v>99</v>
      </c>
      <c r="O1" s="84" t="s">
        <v>101</v>
      </c>
      <c r="P1" s="84" t="s">
        <v>103</v>
      </c>
      <c r="Q1" s="84" t="s">
        <v>104</v>
      </c>
      <c r="R1" s="84" t="s">
        <v>105</v>
      </c>
      <c r="S1" s="84" t="s">
        <v>106</v>
      </c>
      <c r="T1" s="87" t="s">
        <v>107</v>
      </c>
      <c r="U1" s="87" t="s">
        <v>109</v>
      </c>
      <c r="V1" s="84" t="s">
        <v>110</v>
      </c>
      <c r="W1" s="84" t="s">
        <v>111</v>
      </c>
      <c r="X1" s="84" t="s">
        <v>113</v>
      </c>
      <c r="Y1" s="84" t="s">
        <v>114</v>
      </c>
    </row>
    <row r="2">
      <c r="A2" s="94">
        <v>1.0</v>
      </c>
      <c r="B2" s="96" t="str">
        <f>GRUPS!C2</f>
        <v>Esmeralda</v>
      </c>
      <c r="C2" s="100" t="str">
        <f>GRUPS!E2</f>
        <v>JOAN</v>
      </c>
      <c r="D2" s="100" t="str">
        <f>GRUPS!F2</f>
        <v>A2</v>
      </c>
      <c r="E2" s="96"/>
      <c r="F2" s="96"/>
      <c r="G2" s="96"/>
      <c r="H2" s="96"/>
      <c r="I2" s="96"/>
      <c r="J2" s="96"/>
      <c r="K2" s="96"/>
      <c r="L2" s="96"/>
      <c r="M2" s="96"/>
      <c r="N2" s="96"/>
      <c r="O2" s="96"/>
      <c r="P2" s="96"/>
      <c r="Q2" s="96"/>
      <c r="R2" s="96"/>
      <c r="S2" s="96"/>
      <c r="T2" s="96"/>
      <c r="U2" s="96"/>
      <c r="V2" s="96"/>
      <c r="W2" s="96"/>
      <c r="X2" s="96"/>
      <c r="Y2" s="96"/>
    </row>
    <row r="3">
      <c r="B3" s="96" t="str">
        <f>GRUPS!C3</f>
        <v>Fernandez</v>
      </c>
    </row>
    <row r="4">
      <c r="B4" s="96" t="str">
        <f>GRUPS!C4</f>
        <v>Jurado Castillo</v>
      </c>
    </row>
    <row r="5">
      <c r="A5" s="107">
        <v>2.0</v>
      </c>
      <c r="B5" s="108" t="str">
        <f>GRUPS!C5</f>
        <v>Álvarez Calvo</v>
      </c>
      <c r="C5" s="112" t="str">
        <f>GRUPS!E5</f>
        <v>OSCAR</v>
      </c>
      <c r="D5" s="100" t="str">
        <f>GRUPS!F5</f>
        <v>B1</v>
      </c>
      <c r="E5" s="115"/>
      <c r="F5" s="115"/>
      <c r="G5" s="115"/>
      <c r="H5" s="115"/>
      <c r="I5" s="115"/>
      <c r="J5" s="115"/>
      <c r="K5" s="115"/>
      <c r="L5" s="115"/>
      <c r="M5" s="115"/>
      <c r="N5" s="115"/>
      <c r="O5" s="115"/>
      <c r="P5" s="115"/>
      <c r="Q5" s="115"/>
      <c r="R5" s="115"/>
      <c r="S5" s="115"/>
      <c r="T5" s="115"/>
      <c r="U5" s="115"/>
      <c r="V5" s="115"/>
      <c r="W5" s="115"/>
      <c r="X5" s="115"/>
      <c r="Y5" s="115"/>
    </row>
    <row r="6">
      <c r="B6" s="108" t="str">
        <f>GRUPS!C6</f>
        <v>Borràs Martínez</v>
      </c>
    </row>
    <row r="7">
      <c r="B7" s="108" t="str">
        <f>GRUPS!C7</f>
        <v>Igual Lopez</v>
      </c>
    </row>
    <row r="8">
      <c r="A8" s="94">
        <v>3.0</v>
      </c>
      <c r="B8" s="96" t="str">
        <f>GRUPS!C8</f>
        <v>Balada Segura</v>
      </c>
      <c r="C8" s="112" t="str">
        <f>GRUPS!E8</f>
        <v>OSCAR</v>
      </c>
      <c r="D8" s="100" t="str">
        <f>GRUPS!F8</f>
        <v>B1</v>
      </c>
      <c r="E8" s="96"/>
      <c r="F8" s="96"/>
      <c r="G8" s="96"/>
      <c r="H8" s="96"/>
      <c r="I8" s="96"/>
      <c r="J8" s="96"/>
      <c r="K8" s="96"/>
      <c r="L8" s="96"/>
      <c r="M8" s="96"/>
      <c r="N8" s="96"/>
      <c r="O8" s="96"/>
      <c r="P8" s="96"/>
      <c r="Q8" s="96"/>
      <c r="R8" s="96"/>
      <c r="S8" s="96"/>
      <c r="T8" s="96"/>
      <c r="U8" s="96"/>
      <c r="V8" s="96"/>
      <c r="W8" s="96"/>
      <c r="X8" s="96"/>
      <c r="Y8" s="96"/>
    </row>
    <row r="9">
      <c r="B9" s="96" t="str">
        <f>GRUPS!C9</f>
        <v>Gisbert García</v>
      </c>
    </row>
    <row r="10">
      <c r="B10" s="96" t="str">
        <f>GRUPS!C10</f>
        <v>Navarro</v>
      </c>
    </row>
    <row r="11">
      <c r="A11" s="136">
        <v>4.0</v>
      </c>
      <c r="B11" s="108" t="str">
        <f>GRUPS!C11</f>
        <v>Barriere Rodríguez</v>
      </c>
      <c r="C11" s="139" t="str">
        <f>GRUPS!E11</f>
        <v>EVA</v>
      </c>
      <c r="D11" s="139" t="str">
        <f>GRUPS!F11</f>
        <v>B1</v>
      </c>
      <c r="E11" s="115"/>
      <c r="F11" s="115"/>
      <c r="G11" s="115"/>
      <c r="H11" s="115"/>
      <c r="I11" s="115"/>
      <c r="J11" s="115"/>
      <c r="K11" s="115"/>
      <c r="L11" s="115"/>
      <c r="M11" s="115"/>
      <c r="N11" s="115"/>
      <c r="O11" s="115"/>
      <c r="P11" s="115"/>
      <c r="Q11" s="115"/>
      <c r="R11" s="115"/>
      <c r="S11" s="115"/>
      <c r="T11" s="115"/>
      <c r="U11" s="115"/>
      <c r="V11" s="115"/>
      <c r="W11" s="115"/>
      <c r="X11" s="115"/>
      <c r="Y11" s="115"/>
    </row>
    <row r="12">
      <c r="B12" s="108" t="str">
        <f>GRUPS!C12</f>
        <v>Moré Puig</v>
      </c>
    </row>
    <row r="13" ht="21.75" customHeight="1">
      <c r="B13" s="108" t="str">
        <f>GRUPS!C13</f>
        <v>Risco Ruiz</v>
      </c>
    </row>
    <row r="14">
      <c r="A14" s="143">
        <v>5.0</v>
      </c>
      <c r="B14" s="96" t="str">
        <f>GRUPS!C14</f>
        <v>Capitán Barallobre</v>
      </c>
      <c r="C14" s="100" t="str">
        <f>GRUPS!E14</f>
        <v>JORDI</v>
      </c>
      <c r="D14" s="100" t="str">
        <f>GRUPS!F14</f>
        <v>B1</v>
      </c>
      <c r="E14" s="96"/>
      <c r="F14" s="96"/>
      <c r="G14" s="96"/>
      <c r="H14" s="96"/>
      <c r="I14" s="96"/>
      <c r="J14" s="96"/>
      <c r="K14" s="96"/>
      <c r="L14" s="96"/>
      <c r="M14" s="96"/>
      <c r="N14" s="96"/>
      <c r="O14" s="96"/>
      <c r="P14" s="96"/>
      <c r="Q14" s="96"/>
      <c r="R14" s="96"/>
      <c r="S14" s="96"/>
      <c r="T14" s="96"/>
      <c r="U14" s="96"/>
      <c r="V14" s="96"/>
      <c r="W14" s="96"/>
      <c r="X14" s="96"/>
      <c r="Y14" s="96"/>
    </row>
    <row r="15">
      <c r="B15" s="96" t="str">
        <f>GRUPS!C15</f>
        <v>López Calzada</v>
      </c>
    </row>
    <row r="16">
      <c r="B16" s="96" t="str">
        <f>GRUPS!C16</f>
        <v>Barreto Madrid</v>
      </c>
    </row>
    <row r="17">
      <c r="A17" s="107">
        <v>6.0</v>
      </c>
      <c r="B17" s="108" t="str">
        <f>GRUPS!C17</f>
        <v>CONTRERAS GARRIDO</v>
      </c>
      <c r="C17" s="139" t="str">
        <f>GRUPS!E17</f>
        <v>OSCAR</v>
      </c>
      <c r="D17" s="139" t="str">
        <f>GRUPS!F17</f>
        <v>B1</v>
      </c>
      <c r="E17" s="115"/>
      <c r="F17" s="115"/>
      <c r="G17" s="115"/>
      <c r="H17" s="115"/>
      <c r="I17" s="115"/>
      <c r="J17" s="115"/>
      <c r="K17" s="115"/>
      <c r="L17" s="115"/>
      <c r="M17" s="115"/>
      <c r="N17" s="115"/>
      <c r="O17" s="115"/>
      <c r="P17" s="115"/>
      <c r="Q17" s="115"/>
      <c r="R17" s="115"/>
      <c r="S17" s="115"/>
      <c r="T17" s="115"/>
      <c r="U17" s="115"/>
      <c r="V17" s="115"/>
      <c r="W17" s="115"/>
      <c r="X17" s="115"/>
      <c r="Y17" s="115"/>
    </row>
    <row r="18">
      <c r="B18" s="108" t="str">
        <f>GRUPS!C18</f>
        <v>Cruces Alejo</v>
      </c>
      <c r="M18" s="115"/>
    </row>
    <row r="19">
      <c r="B19" s="108" t="str">
        <f>GRUPS!C19</f>
        <v>Galindo Matías</v>
      </c>
      <c r="M19" s="115"/>
    </row>
    <row r="20">
      <c r="B20" s="108" t="str">
        <f>GRUPS!C20</f>
        <v>del Moral Prados</v>
      </c>
      <c r="M20" s="115"/>
    </row>
    <row r="21">
      <c r="A21" s="147">
        <v>7.0</v>
      </c>
      <c r="B21" s="96" t="str">
        <f>GRUPS!C21</f>
        <v>Ivaylov Georgiev</v>
      </c>
      <c r="C21" s="139" t="str">
        <f>GRUPS!E20</f>
        <v>PAU</v>
      </c>
      <c r="D21" s="139"/>
      <c r="E21" s="96"/>
      <c r="F21" s="96"/>
      <c r="G21" s="96"/>
      <c r="H21" s="96"/>
      <c r="I21" s="96"/>
      <c r="J21" s="96"/>
      <c r="K21" s="96"/>
      <c r="L21" s="96"/>
      <c r="M21" s="96"/>
      <c r="N21" s="96"/>
      <c r="O21" s="96"/>
      <c r="P21" s="96"/>
      <c r="Q21" s="96"/>
      <c r="R21" s="96"/>
      <c r="S21" s="96"/>
      <c r="T21" s="96"/>
      <c r="U21" s="96"/>
      <c r="V21" s="96"/>
      <c r="W21" s="96"/>
      <c r="X21" s="96"/>
      <c r="Y21" s="96"/>
    </row>
    <row r="22">
      <c r="B22" s="96" t="str">
        <f>GRUPS!C22</f>
        <v>López Mañé</v>
      </c>
    </row>
    <row r="23">
      <c r="B23" s="96" t="str">
        <f>GRUPS!C23</f>
        <v>García Sabola</v>
      </c>
    </row>
    <row r="24">
      <c r="A24" s="155">
        <v>8.0</v>
      </c>
      <c r="B24" s="108" t="str">
        <f>GRUPS!C24</f>
        <v>Ouniss El Aalali</v>
      </c>
      <c r="C24" s="139" t="str">
        <f>GRUPS!E23</f>
        <v>ASPAS</v>
      </c>
      <c r="D24" s="139"/>
      <c r="E24" s="115"/>
      <c r="F24" s="115"/>
      <c r="G24" s="115"/>
      <c r="H24" s="115"/>
      <c r="I24" s="115"/>
      <c r="J24" s="115"/>
      <c r="K24" s="115"/>
      <c r="L24" s="115"/>
      <c r="M24" s="115"/>
      <c r="N24" s="115"/>
      <c r="O24" s="115"/>
      <c r="P24" s="115"/>
      <c r="Q24" s="115"/>
      <c r="R24" s="115"/>
      <c r="S24" s="115"/>
      <c r="T24" s="115"/>
      <c r="U24" s="115"/>
      <c r="V24" s="115"/>
      <c r="W24" s="115"/>
      <c r="X24" s="115"/>
      <c r="Y24" s="115"/>
    </row>
    <row r="25">
      <c r="B25" s="108" t="str">
        <f>GRUPS!C25</f>
        <v>Montero Retamosa</v>
      </c>
    </row>
    <row r="26">
      <c r="B26" s="108" t="str">
        <f>GRUPS!C26</f>
        <v>Jurado Rodriguez</v>
      </c>
    </row>
    <row r="27">
      <c r="A27" s="143">
        <v>9.0</v>
      </c>
      <c r="B27" s="96" t="str">
        <f>GRUPS!C27</f>
        <v>Sanchez Tena</v>
      </c>
      <c r="C27" s="162" t="str">
        <f>GRUPS!E26</f>
        <v>JOAN</v>
      </c>
      <c r="D27" s="163"/>
      <c r="E27" s="96"/>
      <c r="F27" s="96"/>
      <c r="G27" s="96"/>
      <c r="H27" s="96"/>
      <c r="I27" s="96"/>
      <c r="J27" s="96"/>
      <c r="K27" s="96"/>
      <c r="L27" s="96"/>
      <c r="M27" s="96"/>
      <c r="N27" s="96"/>
      <c r="O27" s="96"/>
      <c r="P27" s="96"/>
      <c r="Q27" s="96"/>
      <c r="R27" s="96"/>
      <c r="S27" s="96"/>
      <c r="T27" s="96"/>
      <c r="U27" s="96"/>
      <c r="V27" s="96"/>
      <c r="W27" s="96"/>
      <c r="X27" s="96"/>
      <c r="Y27" s="96"/>
    </row>
    <row r="28">
      <c r="B28" s="96" t="str">
        <f>GRUPS!C28</f>
        <v>Muñoz Peris</v>
      </c>
      <c r="M28" s="96"/>
    </row>
    <row r="29">
      <c r="B29" s="96" t="str">
        <f>#REF!</f>
        <v>#REF!</v>
      </c>
      <c r="M29" s="96"/>
    </row>
    <row r="30">
      <c r="A30" s="136">
        <v>10.0</v>
      </c>
      <c r="B30" s="108" t="str">
        <f>GRUPS!C29</f>
        <v>Tiscar Guisado</v>
      </c>
      <c r="C30" s="162" t="str">
        <f>#REF!</f>
        <v>#REF!</v>
      </c>
      <c r="D30" s="163"/>
      <c r="E30" s="115"/>
      <c r="F30" s="115"/>
      <c r="G30" s="115"/>
      <c r="H30" s="115"/>
      <c r="I30" s="115"/>
      <c r="J30" s="115"/>
      <c r="K30" s="115"/>
      <c r="L30" s="115"/>
      <c r="M30" s="115"/>
      <c r="N30" s="115"/>
      <c r="O30" s="115"/>
      <c r="P30" s="115"/>
      <c r="Q30" s="115"/>
      <c r="R30" s="115"/>
      <c r="S30" s="115"/>
      <c r="T30" s="115"/>
      <c r="U30" s="115"/>
      <c r="V30" s="115"/>
      <c r="W30" s="115"/>
      <c r="X30" s="115"/>
      <c r="Y30" s="115"/>
    </row>
    <row r="31">
      <c r="B31" s="108" t="str">
        <f>GRUPS!C30</f>
        <v>Lara Vera</v>
      </c>
      <c r="M31" s="115"/>
    </row>
    <row r="32">
      <c r="B32" s="108" t="str">
        <f>GRUPS!C31</f>
        <v>Prados</v>
      </c>
      <c r="M32" s="115"/>
    </row>
    <row r="33">
      <c r="A33" s="143">
        <v>11.0</v>
      </c>
      <c r="B33" s="96" t="str">
        <f>GRUPS!C32</f>
        <v>Garcia Tomás</v>
      </c>
      <c r="C33" s="162" t="str">
        <f>GRUPS!E32</f>
        <v>OSCAR</v>
      </c>
      <c r="D33" s="163"/>
      <c r="E33" s="96"/>
      <c r="F33" s="96"/>
      <c r="G33" s="96"/>
      <c r="H33" s="96"/>
      <c r="I33" s="96"/>
      <c r="J33" s="96"/>
      <c r="K33" s="96"/>
      <c r="L33" s="96"/>
      <c r="M33" s="96"/>
      <c r="N33" s="96"/>
      <c r="O33" s="96"/>
      <c r="P33" s="96"/>
      <c r="Q33" s="96"/>
      <c r="R33" s="96"/>
      <c r="S33" s="96"/>
      <c r="T33" s="96"/>
      <c r="U33" s="96"/>
      <c r="V33" s="96"/>
      <c r="W33" s="96"/>
      <c r="X33" s="96"/>
      <c r="Y33" s="96"/>
    </row>
    <row r="34">
      <c r="B34" s="96" t="str">
        <f>GRUPS!C33</f>
        <v>Mandret Ramos</v>
      </c>
      <c r="M34" s="96"/>
    </row>
    <row r="35">
      <c r="B35" s="96" t="str">
        <f>GRUPS!C34</f>
        <v>Souane Koma</v>
      </c>
      <c r="M35" s="96"/>
    </row>
    <row r="36">
      <c r="A36" s="169">
        <v>12.0</v>
      </c>
      <c r="B36" s="108" t="str">
        <f>GRUPS!C35</f>
        <v>Díaz Villarroel</v>
      </c>
      <c r="C36" s="162" t="str">
        <f>GRUPS!E35</f>
        <v>JOAN</v>
      </c>
      <c r="D36" s="163"/>
      <c r="E36" s="115"/>
      <c r="F36" s="115"/>
      <c r="G36" s="115"/>
      <c r="H36" s="115"/>
      <c r="I36" s="115"/>
      <c r="J36" s="115"/>
      <c r="K36" s="115"/>
      <c r="L36" s="115"/>
      <c r="M36" s="115"/>
      <c r="N36" s="115"/>
      <c r="O36" s="115"/>
      <c r="P36" s="115"/>
      <c r="Q36" s="115"/>
      <c r="R36" s="115"/>
      <c r="S36" s="115"/>
      <c r="T36" s="115"/>
      <c r="U36" s="115"/>
      <c r="V36" s="115"/>
      <c r="W36" s="115"/>
      <c r="X36" s="115"/>
      <c r="Y36" s="115"/>
    </row>
    <row r="37">
      <c r="B37" s="108" t="str">
        <f>GRUPS!C36</f>
        <v>Sáez Solà</v>
      </c>
      <c r="M37" s="115"/>
    </row>
    <row r="38">
      <c r="B38" s="108" t="str">
        <f>GRUPS!C37</f>
        <v>Trullas Aranda</v>
      </c>
      <c r="M38" s="115"/>
    </row>
    <row r="39">
      <c r="A39" s="147">
        <v>13.0</v>
      </c>
      <c r="B39" s="96" t="str">
        <f>GRUPS!C38</f>
        <v>Ortiz</v>
      </c>
      <c r="C39" s="162" t="str">
        <f>GRUPS!E38</f>
        <v>ROGER</v>
      </c>
      <c r="D39" s="163"/>
      <c r="E39" s="96"/>
      <c r="F39" s="96"/>
      <c r="G39" s="96"/>
      <c r="H39" s="96"/>
      <c r="I39" s="96"/>
      <c r="J39" s="96"/>
      <c r="K39" s="96"/>
      <c r="L39" s="96"/>
      <c r="M39" s="96"/>
      <c r="N39" s="96"/>
      <c r="O39" s="96"/>
      <c r="P39" s="96"/>
      <c r="Q39" s="96"/>
      <c r="R39" s="96"/>
      <c r="S39" s="96"/>
      <c r="T39" s="96"/>
      <c r="U39" s="96"/>
      <c r="V39" s="96"/>
      <c r="W39" s="96"/>
      <c r="X39" s="96"/>
      <c r="Y39" s="96"/>
    </row>
    <row r="40">
      <c r="B40" s="96" t="str">
        <f>GRUPS!C39</f>
        <v>Borruel</v>
      </c>
      <c r="M40" s="96"/>
    </row>
    <row r="41">
      <c r="B41" s="96" t="str">
        <f>GRUPS!C40</f>
        <v>Turegano</v>
      </c>
      <c r="M41" s="96"/>
    </row>
    <row r="42">
      <c r="A42" s="169">
        <v>14.0</v>
      </c>
      <c r="B42" s="108" t="str">
        <f>GRUPS!C41</f>
        <v>Martinez</v>
      </c>
      <c r="C42" s="162" t="str">
        <f>GRUPS!E41</f>
        <v>JOAN</v>
      </c>
      <c r="D42" s="163"/>
      <c r="E42" s="115"/>
      <c r="F42" s="115"/>
      <c r="G42" s="115"/>
      <c r="H42" s="115"/>
      <c r="I42" s="115"/>
      <c r="J42" s="115"/>
      <c r="K42" s="115"/>
      <c r="L42" s="115"/>
      <c r="M42" s="115"/>
      <c r="N42" s="115"/>
      <c r="O42" s="115"/>
      <c r="P42" s="115"/>
      <c r="Q42" s="115"/>
      <c r="R42" s="115"/>
      <c r="S42" s="115"/>
      <c r="T42" s="115"/>
      <c r="U42" s="115"/>
      <c r="V42" s="115"/>
      <c r="W42" s="115"/>
      <c r="X42" s="115"/>
      <c r="Y42" s="115"/>
    </row>
    <row r="43">
      <c r="B43" s="108" t="str">
        <f>GRUPS!C42</f>
        <v>Martinez</v>
      </c>
      <c r="M43" s="115"/>
    </row>
    <row r="44">
      <c r="B44" s="108" t="str">
        <f>GRUPS!C43</f>
        <v>Garcia</v>
      </c>
      <c r="M44" s="115"/>
    </row>
    <row r="45">
      <c r="A45" s="147">
        <v>15.0</v>
      </c>
      <c r="B45" s="96" t="str">
        <f>GRUPS!C44</f>
        <v>Torres</v>
      </c>
      <c r="C45" s="162" t="str">
        <f>GRUPS!E44</f>
        <v>VANESA</v>
      </c>
      <c r="D45" s="163"/>
      <c r="E45" s="96"/>
      <c r="F45" s="96"/>
      <c r="G45" s="96"/>
      <c r="H45" s="96"/>
      <c r="I45" s="96"/>
      <c r="J45" s="96"/>
      <c r="K45" s="96"/>
      <c r="L45" s="96"/>
      <c r="M45" s="96"/>
      <c r="N45" s="96"/>
      <c r="O45" s="96"/>
      <c r="P45" s="96"/>
      <c r="Q45" s="96"/>
      <c r="R45" s="96"/>
      <c r="S45" s="96"/>
      <c r="T45" s="96"/>
      <c r="U45" s="96"/>
      <c r="V45" s="96"/>
      <c r="W45" s="96"/>
      <c r="X45" s="96"/>
      <c r="Y45" s="96"/>
    </row>
    <row r="46">
      <c r="B46" s="96" t="str">
        <f>GRUPS!C45</f>
        <v>Salgado</v>
      </c>
      <c r="M46" s="96"/>
    </row>
    <row r="47">
      <c r="B47" s="96" t="str">
        <f>GRUPS!C46</f>
        <v>Estrada</v>
      </c>
      <c r="M47" s="96"/>
    </row>
    <row r="48">
      <c r="A48" s="169">
        <v>16.0</v>
      </c>
      <c r="B48" s="108" t="str">
        <f>GRUPS!C47</f>
        <v>Ezquerra</v>
      </c>
      <c r="C48" s="181"/>
      <c r="D48" s="139"/>
      <c r="E48" s="115"/>
      <c r="F48" s="115"/>
      <c r="G48" s="115"/>
      <c r="H48" s="182"/>
      <c r="I48" s="115"/>
      <c r="J48" s="115"/>
      <c r="K48" s="115"/>
      <c r="L48" s="115"/>
      <c r="M48" s="115"/>
      <c r="N48" s="115"/>
      <c r="O48" s="115"/>
      <c r="P48" s="115"/>
      <c r="Q48" s="115"/>
      <c r="R48" s="115"/>
      <c r="S48" s="115"/>
      <c r="T48" s="115"/>
      <c r="U48" s="115"/>
      <c r="V48" s="115"/>
      <c r="W48" s="115"/>
      <c r="X48" s="115"/>
      <c r="Y48" s="115"/>
    </row>
    <row r="49">
      <c r="B49" s="108" t="str">
        <f>GRUPS!C48</f>
        <v>Barceló Martín</v>
      </c>
      <c r="M49" s="115"/>
    </row>
    <row r="50">
      <c r="B50" s="108" t="str">
        <f>GRUPS!C49</f>
        <v>Arance Merlos</v>
      </c>
      <c r="M50" s="115"/>
    </row>
    <row r="51">
      <c r="A51" s="147">
        <v>17.0</v>
      </c>
      <c r="B51" s="183" t="s">
        <v>228</v>
      </c>
      <c r="C51" s="184" t="s">
        <v>229</v>
      </c>
      <c r="D51" s="184">
        <v>44.0</v>
      </c>
      <c r="E51" s="96"/>
      <c r="F51" s="96"/>
      <c r="G51" s="96"/>
      <c r="H51" s="96"/>
      <c r="I51" s="96"/>
      <c r="J51" s="96"/>
      <c r="K51" s="96"/>
      <c r="L51" s="96"/>
      <c r="M51" s="96"/>
      <c r="N51" s="96"/>
      <c r="O51" s="96"/>
      <c r="P51" s="96"/>
      <c r="Q51" s="96"/>
      <c r="R51" s="96"/>
      <c r="S51" s="96"/>
      <c r="T51" s="96"/>
      <c r="U51" s="96"/>
      <c r="V51" s="96"/>
      <c r="W51" s="96"/>
      <c r="X51" s="96"/>
      <c r="Y51" s="96"/>
    </row>
    <row r="52">
      <c r="B52" s="183" t="s">
        <v>230</v>
      </c>
      <c r="M52" s="96"/>
    </row>
    <row r="53">
      <c r="B53" s="183" t="s">
        <v>231</v>
      </c>
      <c r="M53" s="96"/>
    </row>
    <row r="54">
      <c r="A54" s="169">
        <v>18.0</v>
      </c>
      <c r="B54" s="185" t="s">
        <v>232</v>
      </c>
      <c r="C54" s="40" t="s">
        <v>233</v>
      </c>
      <c r="D54" s="40">
        <v>44.0</v>
      </c>
      <c r="E54" s="115"/>
      <c r="F54" s="115"/>
      <c r="G54" s="115"/>
      <c r="H54" s="182"/>
      <c r="I54" s="115"/>
      <c r="J54" s="115"/>
      <c r="K54" s="115"/>
      <c r="L54" s="115"/>
      <c r="M54" s="115"/>
      <c r="N54" s="115"/>
      <c r="O54" s="115"/>
      <c r="P54" s="115"/>
      <c r="Q54" s="115"/>
      <c r="R54" s="115"/>
      <c r="S54" s="115"/>
      <c r="T54" s="115"/>
      <c r="U54" s="115"/>
      <c r="V54" s="115"/>
      <c r="W54" s="115"/>
      <c r="X54" s="115"/>
      <c r="Y54" s="115"/>
    </row>
    <row r="55">
      <c r="B55" s="185" t="s">
        <v>234</v>
      </c>
      <c r="M55" s="115"/>
    </row>
    <row r="56">
      <c r="B56" s="185" t="s">
        <v>235</v>
      </c>
      <c r="M56" s="115"/>
    </row>
    <row r="57">
      <c r="A57" s="147">
        <v>19.0</v>
      </c>
      <c r="B57" s="183" t="s">
        <v>236</v>
      </c>
      <c r="C57" s="184" t="s">
        <v>237</v>
      </c>
      <c r="D57" s="184">
        <v>44.0</v>
      </c>
      <c r="E57" s="96"/>
      <c r="F57" s="96"/>
      <c r="G57" s="96"/>
      <c r="H57" s="96"/>
      <c r="I57" s="96"/>
      <c r="J57" s="96"/>
      <c r="K57" s="96"/>
      <c r="L57" s="96"/>
      <c r="M57" s="96"/>
      <c r="N57" s="96"/>
      <c r="O57" s="96"/>
      <c r="P57" s="96"/>
      <c r="Q57" s="96"/>
      <c r="R57" s="96"/>
      <c r="S57" s="96"/>
      <c r="T57" s="96"/>
      <c r="U57" s="96"/>
      <c r="V57" s="96"/>
      <c r="W57" s="96"/>
      <c r="X57" s="96"/>
      <c r="Y57" s="96"/>
    </row>
    <row r="58">
      <c r="B58" s="183" t="s">
        <v>238</v>
      </c>
      <c r="M58" s="96"/>
    </row>
    <row r="59">
      <c r="B59" s="183" t="s">
        <v>239</v>
      </c>
      <c r="M59" s="96"/>
    </row>
    <row r="60">
      <c r="A60" s="169">
        <v>20.0</v>
      </c>
      <c r="B60" s="185" t="s">
        <v>240</v>
      </c>
      <c r="C60" s="40" t="s">
        <v>241</v>
      </c>
      <c r="D60" s="40">
        <v>44.0</v>
      </c>
      <c r="E60" s="115"/>
      <c r="F60" s="115"/>
      <c r="G60" s="115"/>
      <c r="H60" s="182"/>
      <c r="I60" s="115"/>
      <c r="J60" s="115"/>
      <c r="K60" s="115"/>
      <c r="L60" s="115"/>
      <c r="M60" s="115"/>
      <c r="N60" s="115"/>
      <c r="O60" s="115"/>
      <c r="P60" s="115"/>
      <c r="Q60" s="115"/>
      <c r="R60" s="115"/>
      <c r="S60" s="115"/>
      <c r="T60" s="115"/>
      <c r="U60" s="115"/>
      <c r="V60" s="115"/>
      <c r="W60" s="115"/>
      <c r="X60" s="115"/>
      <c r="Y60" s="115"/>
    </row>
    <row r="61">
      <c r="B61" s="185" t="s">
        <v>242</v>
      </c>
      <c r="M61" s="115"/>
    </row>
    <row r="62">
      <c r="B62" s="185" t="s">
        <v>243</v>
      </c>
      <c r="M62" s="115"/>
    </row>
    <row r="63">
      <c r="A63" s="147">
        <v>21.0</v>
      </c>
      <c r="B63" s="183" t="s">
        <v>244</v>
      </c>
      <c r="C63" s="184" t="s">
        <v>245</v>
      </c>
      <c r="D63" s="184">
        <v>44.0</v>
      </c>
      <c r="E63" s="96"/>
      <c r="F63" s="96"/>
      <c r="G63" s="96"/>
      <c r="H63" s="96"/>
      <c r="I63" s="96"/>
      <c r="J63" s="96"/>
      <c r="K63" s="96"/>
      <c r="L63" s="96"/>
      <c r="M63" s="96"/>
      <c r="N63" s="96"/>
      <c r="O63" s="96"/>
      <c r="P63" s="96"/>
      <c r="Q63" s="96"/>
      <c r="R63" s="96"/>
      <c r="S63" s="96"/>
      <c r="T63" s="96"/>
      <c r="U63" s="96"/>
      <c r="V63" s="96"/>
      <c r="W63" s="96"/>
      <c r="X63" s="96"/>
      <c r="Y63" s="96"/>
    </row>
    <row r="64">
      <c r="B64" s="183" t="s">
        <v>246</v>
      </c>
      <c r="M64" s="96"/>
    </row>
    <row r="65">
      <c r="B65" s="183" t="s">
        <v>247</v>
      </c>
      <c r="M65" s="96"/>
    </row>
    <row r="66">
      <c r="B66" s="183" t="s">
        <v>248</v>
      </c>
      <c r="M66" s="96"/>
    </row>
  </sheetData>
  <mergeCells count="490">
    <mergeCell ref="F11:F13"/>
    <mergeCell ref="G11:G13"/>
    <mergeCell ref="H14:H16"/>
    <mergeCell ref="I14:I16"/>
    <mergeCell ref="J14:J16"/>
    <mergeCell ref="K14:K16"/>
    <mergeCell ref="L14:L16"/>
    <mergeCell ref="M14:M16"/>
    <mergeCell ref="N14:N16"/>
    <mergeCell ref="V14:V16"/>
    <mergeCell ref="W14:W16"/>
    <mergeCell ref="X14:X16"/>
    <mergeCell ref="Y14:Y16"/>
    <mergeCell ref="X17:X20"/>
    <mergeCell ref="Y17:Y20"/>
    <mergeCell ref="O14:O16"/>
    <mergeCell ref="P14:P16"/>
    <mergeCell ref="Q14:Q16"/>
    <mergeCell ref="R14:R16"/>
    <mergeCell ref="S14:S16"/>
    <mergeCell ref="T14:T16"/>
    <mergeCell ref="U14:U16"/>
    <mergeCell ref="C14:C16"/>
    <mergeCell ref="C17:C20"/>
    <mergeCell ref="D17:D20"/>
    <mergeCell ref="E17:E20"/>
    <mergeCell ref="F17:F20"/>
    <mergeCell ref="G17:G20"/>
    <mergeCell ref="I17:I20"/>
    <mergeCell ref="J17:J20"/>
    <mergeCell ref="K17:K20"/>
    <mergeCell ref="L17:L20"/>
    <mergeCell ref="N17:N20"/>
    <mergeCell ref="A8:A10"/>
    <mergeCell ref="D8:D10"/>
    <mergeCell ref="E8:E10"/>
    <mergeCell ref="F8:F10"/>
    <mergeCell ref="G8:G10"/>
    <mergeCell ref="H8:H10"/>
    <mergeCell ref="H11:H13"/>
    <mergeCell ref="H21:H23"/>
    <mergeCell ref="I21:I23"/>
    <mergeCell ref="J21:J23"/>
    <mergeCell ref="K21:K23"/>
    <mergeCell ref="L21:L23"/>
    <mergeCell ref="M21:M23"/>
    <mergeCell ref="N21:N23"/>
    <mergeCell ref="V21:V23"/>
    <mergeCell ref="W21:W23"/>
    <mergeCell ref="X21:X23"/>
    <mergeCell ref="Y21:Y23"/>
    <mergeCell ref="W24:W26"/>
    <mergeCell ref="X24:X26"/>
    <mergeCell ref="Y24:Y26"/>
    <mergeCell ref="O21:O23"/>
    <mergeCell ref="P21:P23"/>
    <mergeCell ref="Q21:Q23"/>
    <mergeCell ref="R21:R23"/>
    <mergeCell ref="S21:S23"/>
    <mergeCell ref="T21:T23"/>
    <mergeCell ref="U21:U23"/>
    <mergeCell ref="C21:C23"/>
    <mergeCell ref="C24:C26"/>
    <mergeCell ref="D24:D26"/>
    <mergeCell ref="E24:E26"/>
    <mergeCell ref="F24:F26"/>
    <mergeCell ref="G24:G26"/>
    <mergeCell ref="I24:I26"/>
    <mergeCell ref="J24:J26"/>
    <mergeCell ref="K24:K26"/>
    <mergeCell ref="L24:L26"/>
    <mergeCell ref="M24:M26"/>
    <mergeCell ref="X5:X7"/>
    <mergeCell ref="Y5:Y7"/>
    <mergeCell ref="Q5:Q7"/>
    <mergeCell ref="R5:R7"/>
    <mergeCell ref="S5:S7"/>
    <mergeCell ref="T5:T7"/>
    <mergeCell ref="U5:U7"/>
    <mergeCell ref="V5:V7"/>
    <mergeCell ref="W5:W7"/>
    <mergeCell ref="I2:I4"/>
    <mergeCell ref="J2:J4"/>
    <mergeCell ref="K2:K4"/>
    <mergeCell ref="L2:L4"/>
    <mergeCell ref="M2:M4"/>
    <mergeCell ref="N2:N4"/>
    <mergeCell ref="O2:O4"/>
    <mergeCell ref="W2:W4"/>
    <mergeCell ref="X2:X4"/>
    <mergeCell ref="Y2:Y4"/>
    <mergeCell ref="C2:C4"/>
    <mergeCell ref="C5:C7"/>
    <mergeCell ref="D5:D7"/>
    <mergeCell ref="E5:E7"/>
    <mergeCell ref="F5:F7"/>
    <mergeCell ref="G5:G7"/>
    <mergeCell ref="A2:A4"/>
    <mergeCell ref="D2:D4"/>
    <mergeCell ref="E2:E4"/>
    <mergeCell ref="F2:F4"/>
    <mergeCell ref="G2:G4"/>
    <mergeCell ref="H2:H4"/>
    <mergeCell ref="A5:A7"/>
    <mergeCell ref="P2:P4"/>
    <mergeCell ref="Q2:Q4"/>
    <mergeCell ref="R2:R4"/>
    <mergeCell ref="S2:S4"/>
    <mergeCell ref="T2:T4"/>
    <mergeCell ref="U2:U4"/>
    <mergeCell ref="V2:V4"/>
    <mergeCell ref="U11:U13"/>
    <mergeCell ref="V11:V13"/>
    <mergeCell ref="N11:N13"/>
    <mergeCell ref="O11:O13"/>
    <mergeCell ref="P11:P13"/>
    <mergeCell ref="Q11:Q13"/>
    <mergeCell ref="R11:R13"/>
    <mergeCell ref="S11:S13"/>
    <mergeCell ref="T11:T13"/>
    <mergeCell ref="O5:O7"/>
    <mergeCell ref="P5:P7"/>
    <mergeCell ref="H5:H7"/>
    <mergeCell ref="I5:I7"/>
    <mergeCell ref="J5:J7"/>
    <mergeCell ref="K5:K7"/>
    <mergeCell ref="L5:L7"/>
    <mergeCell ref="M5:M7"/>
    <mergeCell ref="N5:N7"/>
    <mergeCell ref="I8:I10"/>
    <mergeCell ref="J8:J10"/>
    <mergeCell ref="K8:K10"/>
    <mergeCell ref="L8:L10"/>
    <mergeCell ref="M8:M10"/>
    <mergeCell ref="N8:N10"/>
    <mergeCell ref="O8:O10"/>
    <mergeCell ref="W8:W10"/>
    <mergeCell ref="X8:X10"/>
    <mergeCell ref="Y8:Y10"/>
    <mergeCell ref="W11:W13"/>
    <mergeCell ref="X11:X13"/>
    <mergeCell ref="Y11:Y13"/>
    <mergeCell ref="P8:P10"/>
    <mergeCell ref="Q8:Q10"/>
    <mergeCell ref="R8:R10"/>
    <mergeCell ref="S8:S10"/>
    <mergeCell ref="T8:T10"/>
    <mergeCell ref="U8:U10"/>
    <mergeCell ref="V8:V10"/>
    <mergeCell ref="C8:C10"/>
    <mergeCell ref="C11:C13"/>
    <mergeCell ref="D11:D13"/>
    <mergeCell ref="E11:E13"/>
    <mergeCell ref="I11:I13"/>
    <mergeCell ref="J11:J13"/>
    <mergeCell ref="K11:K13"/>
    <mergeCell ref="L11:L13"/>
    <mergeCell ref="M11:M13"/>
    <mergeCell ref="V17:V20"/>
    <mergeCell ref="W17:W20"/>
    <mergeCell ref="O17:O20"/>
    <mergeCell ref="P17:P20"/>
    <mergeCell ref="Q17:Q20"/>
    <mergeCell ref="R17:R20"/>
    <mergeCell ref="S17:S20"/>
    <mergeCell ref="T17:T20"/>
    <mergeCell ref="U17:U20"/>
    <mergeCell ref="U24:U26"/>
    <mergeCell ref="V24:V26"/>
    <mergeCell ref="N24:N26"/>
    <mergeCell ref="O24:O26"/>
    <mergeCell ref="P24:P26"/>
    <mergeCell ref="Q24:Q26"/>
    <mergeCell ref="R24:R26"/>
    <mergeCell ref="S24:S26"/>
    <mergeCell ref="T24:T26"/>
    <mergeCell ref="U27:U29"/>
    <mergeCell ref="V27:V29"/>
    <mergeCell ref="W27:W29"/>
    <mergeCell ref="X27:X29"/>
    <mergeCell ref="Y27:Y29"/>
    <mergeCell ref="N27:N29"/>
    <mergeCell ref="O27:O29"/>
    <mergeCell ref="P27:P29"/>
    <mergeCell ref="Q27:Q29"/>
    <mergeCell ref="R27:R29"/>
    <mergeCell ref="S27:S29"/>
    <mergeCell ref="T27:T29"/>
    <mergeCell ref="U30:U32"/>
    <mergeCell ref="V30:V32"/>
    <mergeCell ref="W30:W32"/>
    <mergeCell ref="X30:X32"/>
    <mergeCell ref="Y30:Y32"/>
    <mergeCell ref="N30:N32"/>
    <mergeCell ref="O30:O32"/>
    <mergeCell ref="P30:P32"/>
    <mergeCell ref="Q30:Q32"/>
    <mergeCell ref="R30:R32"/>
    <mergeCell ref="S30:S32"/>
    <mergeCell ref="T30:T32"/>
    <mergeCell ref="A33:A35"/>
    <mergeCell ref="C33:C35"/>
    <mergeCell ref="D33:D35"/>
    <mergeCell ref="E33:E35"/>
    <mergeCell ref="F33:F35"/>
    <mergeCell ref="G33:G35"/>
    <mergeCell ref="H33:H35"/>
    <mergeCell ref="I33:I35"/>
    <mergeCell ref="J33:J35"/>
    <mergeCell ref="K33:K35"/>
    <mergeCell ref="L33:L35"/>
    <mergeCell ref="N33:N35"/>
    <mergeCell ref="O33:O35"/>
    <mergeCell ref="P33:P35"/>
    <mergeCell ref="X33:X35"/>
    <mergeCell ref="Y33:Y35"/>
    <mergeCell ref="Q33:Q35"/>
    <mergeCell ref="R33:R35"/>
    <mergeCell ref="S33:S35"/>
    <mergeCell ref="T33:T35"/>
    <mergeCell ref="U33:U35"/>
    <mergeCell ref="V33:V35"/>
    <mergeCell ref="W33:W35"/>
    <mergeCell ref="I48:I50"/>
    <mergeCell ref="J48:J50"/>
    <mergeCell ref="K48:K50"/>
    <mergeCell ref="L48:L50"/>
    <mergeCell ref="N48:N50"/>
    <mergeCell ref="O48:O50"/>
    <mergeCell ref="P48:P50"/>
    <mergeCell ref="X48:X50"/>
    <mergeCell ref="Y48:Y50"/>
    <mergeCell ref="C48:C50"/>
    <mergeCell ref="C51:C53"/>
    <mergeCell ref="D51:D53"/>
    <mergeCell ref="E51:E53"/>
    <mergeCell ref="F51:F53"/>
    <mergeCell ref="G51:G53"/>
    <mergeCell ref="A48:A50"/>
    <mergeCell ref="D48:D50"/>
    <mergeCell ref="E48:E50"/>
    <mergeCell ref="F48:F50"/>
    <mergeCell ref="G48:G50"/>
    <mergeCell ref="H48:H50"/>
    <mergeCell ref="A51:A53"/>
    <mergeCell ref="R51:R53"/>
    <mergeCell ref="S51:S53"/>
    <mergeCell ref="T51:T53"/>
    <mergeCell ref="U51:U53"/>
    <mergeCell ref="V51:V53"/>
    <mergeCell ref="W51:W53"/>
    <mergeCell ref="X51:X53"/>
    <mergeCell ref="Y51:Y53"/>
    <mergeCell ref="Q48:Q50"/>
    <mergeCell ref="R48:R50"/>
    <mergeCell ref="S48:S50"/>
    <mergeCell ref="T48:T50"/>
    <mergeCell ref="U48:U50"/>
    <mergeCell ref="V48:V50"/>
    <mergeCell ref="W48:W50"/>
    <mergeCell ref="P51:P53"/>
    <mergeCell ref="Q51:Q53"/>
    <mergeCell ref="H51:H53"/>
    <mergeCell ref="I51:I53"/>
    <mergeCell ref="J51:J53"/>
    <mergeCell ref="K51:K53"/>
    <mergeCell ref="L51:L53"/>
    <mergeCell ref="N51:N53"/>
    <mergeCell ref="O51:O53"/>
    <mergeCell ref="I54:I56"/>
    <mergeCell ref="J54:J56"/>
    <mergeCell ref="K54:K56"/>
    <mergeCell ref="L54:L56"/>
    <mergeCell ref="N54:N56"/>
    <mergeCell ref="O54:O56"/>
    <mergeCell ref="P54:P56"/>
    <mergeCell ref="X54:X56"/>
    <mergeCell ref="Y54:Y56"/>
    <mergeCell ref="X57:X59"/>
    <mergeCell ref="Y57:Y59"/>
    <mergeCell ref="Q54:Q56"/>
    <mergeCell ref="R54:R56"/>
    <mergeCell ref="S54:S56"/>
    <mergeCell ref="T54:T56"/>
    <mergeCell ref="U54:U56"/>
    <mergeCell ref="V54:V56"/>
    <mergeCell ref="W54:W56"/>
    <mergeCell ref="C54:C56"/>
    <mergeCell ref="C57:C59"/>
    <mergeCell ref="D57:D59"/>
    <mergeCell ref="E57:E59"/>
    <mergeCell ref="I57:I59"/>
    <mergeCell ref="J57:J59"/>
    <mergeCell ref="K57:K59"/>
    <mergeCell ref="L57:L59"/>
    <mergeCell ref="N57:N59"/>
    <mergeCell ref="V63:V66"/>
    <mergeCell ref="W63:W66"/>
    <mergeCell ref="O63:O66"/>
    <mergeCell ref="P63:P66"/>
    <mergeCell ref="Q63:Q66"/>
    <mergeCell ref="R63:R66"/>
    <mergeCell ref="S63:S66"/>
    <mergeCell ref="T63:T66"/>
    <mergeCell ref="U63:U66"/>
    <mergeCell ref="F57:F59"/>
    <mergeCell ref="G57:G59"/>
    <mergeCell ref="H60:H62"/>
    <mergeCell ref="I60:I62"/>
    <mergeCell ref="J60:J62"/>
    <mergeCell ref="K60:K62"/>
    <mergeCell ref="L60:L62"/>
    <mergeCell ref="N60:N62"/>
    <mergeCell ref="O60:O62"/>
    <mergeCell ref="W60:W62"/>
    <mergeCell ref="X60:X62"/>
    <mergeCell ref="Y60:Y62"/>
    <mergeCell ref="X63:X66"/>
    <mergeCell ref="Y63:Y66"/>
    <mergeCell ref="P60:P62"/>
    <mergeCell ref="Q60:Q62"/>
    <mergeCell ref="R60:R62"/>
    <mergeCell ref="S60:S62"/>
    <mergeCell ref="T60:T62"/>
    <mergeCell ref="U60:U62"/>
    <mergeCell ref="V60:V62"/>
    <mergeCell ref="C60:C62"/>
    <mergeCell ref="C63:C66"/>
    <mergeCell ref="D63:D66"/>
    <mergeCell ref="E63:E66"/>
    <mergeCell ref="F63:F66"/>
    <mergeCell ref="G63:G66"/>
    <mergeCell ref="I63:I66"/>
    <mergeCell ref="J63:J66"/>
    <mergeCell ref="K63:K66"/>
    <mergeCell ref="L63:L66"/>
    <mergeCell ref="N63:N66"/>
    <mergeCell ref="I36:I38"/>
    <mergeCell ref="J36:J38"/>
    <mergeCell ref="K36:K38"/>
    <mergeCell ref="L36:L38"/>
    <mergeCell ref="N36:N38"/>
    <mergeCell ref="O36:O38"/>
    <mergeCell ref="P36:P38"/>
    <mergeCell ref="X36:X38"/>
    <mergeCell ref="Y36:Y38"/>
    <mergeCell ref="Q36:Q38"/>
    <mergeCell ref="R36:R38"/>
    <mergeCell ref="S36:S38"/>
    <mergeCell ref="T36:T38"/>
    <mergeCell ref="U36:U38"/>
    <mergeCell ref="V36:V38"/>
    <mergeCell ref="W36:W38"/>
    <mergeCell ref="D39:D41"/>
    <mergeCell ref="E39:E41"/>
    <mergeCell ref="F39:F41"/>
    <mergeCell ref="G39:G41"/>
    <mergeCell ref="H39:H41"/>
    <mergeCell ref="I39:I41"/>
    <mergeCell ref="J39:J41"/>
    <mergeCell ref="S39:S41"/>
    <mergeCell ref="T39:T41"/>
    <mergeCell ref="U39:U41"/>
    <mergeCell ref="V39:V41"/>
    <mergeCell ref="W39:W41"/>
    <mergeCell ref="X39:X41"/>
    <mergeCell ref="Y39:Y41"/>
    <mergeCell ref="K39:K41"/>
    <mergeCell ref="L39:L41"/>
    <mergeCell ref="N39:N41"/>
    <mergeCell ref="O39:O41"/>
    <mergeCell ref="P39:P41"/>
    <mergeCell ref="Q39:Q41"/>
    <mergeCell ref="R39:R41"/>
    <mergeCell ref="C42:C44"/>
    <mergeCell ref="D42:D44"/>
    <mergeCell ref="E42:E44"/>
    <mergeCell ref="F42:F44"/>
    <mergeCell ref="G42:G44"/>
    <mergeCell ref="H42:H44"/>
    <mergeCell ref="I42:I44"/>
    <mergeCell ref="S42:S44"/>
    <mergeCell ref="T42:T44"/>
    <mergeCell ref="U42:U44"/>
    <mergeCell ref="V42:V44"/>
    <mergeCell ref="W42:W44"/>
    <mergeCell ref="X42:X44"/>
    <mergeCell ref="Y42:Y44"/>
    <mergeCell ref="J42:J44"/>
    <mergeCell ref="K42:K44"/>
    <mergeCell ref="N42:N44"/>
    <mergeCell ref="O42:O44"/>
    <mergeCell ref="P42:P44"/>
    <mergeCell ref="Q42:Q44"/>
    <mergeCell ref="R42:R44"/>
    <mergeCell ref="A45:A47"/>
    <mergeCell ref="C45:C47"/>
    <mergeCell ref="D45:D47"/>
    <mergeCell ref="E45:E47"/>
    <mergeCell ref="F45:F47"/>
    <mergeCell ref="G45:G47"/>
    <mergeCell ref="H45:H47"/>
    <mergeCell ref="I45:I47"/>
    <mergeCell ref="J45:J47"/>
    <mergeCell ref="K45:K47"/>
    <mergeCell ref="L45:L47"/>
    <mergeCell ref="N45:N47"/>
    <mergeCell ref="O45:O47"/>
    <mergeCell ref="P45:P47"/>
    <mergeCell ref="X45:X47"/>
    <mergeCell ref="Y45:Y47"/>
    <mergeCell ref="Q45:Q47"/>
    <mergeCell ref="R45:R47"/>
    <mergeCell ref="S45:S47"/>
    <mergeCell ref="T45:T47"/>
    <mergeCell ref="U45:U47"/>
    <mergeCell ref="V45:V47"/>
    <mergeCell ref="W45:W47"/>
    <mergeCell ref="A11:A13"/>
    <mergeCell ref="A14:A16"/>
    <mergeCell ref="D14:D16"/>
    <mergeCell ref="E14:E16"/>
    <mergeCell ref="F14:F16"/>
    <mergeCell ref="G14:G16"/>
    <mergeCell ref="H17:H20"/>
    <mergeCell ref="A17:A20"/>
    <mergeCell ref="A21:A23"/>
    <mergeCell ref="D21:D23"/>
    <mergeCell ref="E21:E23"/>
    <mergeCell ref="F21:F23"/>
    <mergeCell ref="G21:G23"/>
    <mergeCell ref="H24:H26"/>
    <mergeCell ref="H27:H29"/>
    <mergeCell ref="I27:I29"/>
    <mergeCell ref="J27:J29"/>
    <mergeCell ref="K27:K29"/>
    <mergeCell ref="L27:L29"/>
    <mergeCell ref="L42:L44"/>
    <mergeCell ref="F30:F32"/>
    <mergeCell ref="G30:G32"/>
    <mergeCell ref="H30:H32"/>
    <mergeCell ref="I30:I32"/>
    <mergeCell ref="J30:J32"/>
    <mergeCell ref="K30:K32"/>
    <mergeCell ref="L30:L32"/>
    <mergeCell ref="A24:A26"/>
    <mergeCell ref="A27:A29"/>
    <mergeCell ref="D27:D29"/>
    <mergeCell ref="E27:E29"/>
    <mergeCell ref="F27:F29"/>
    <mergeCell ref="G27:G29"/>
    <mergeCell ref="A30:A32"/>
    <mergeCell ref="D30:D32"/>
    <mergeCell ref="E30:E32"/>
    <mergeCell ref="D36:D38"/>
    <mergeCell ref="E36:E38"/>
    <mergeCell ref="F36:F38"/>
    <mergeCell ref="G36:G38"/>
    <mergeCell ref="H36:H38"/>
    <mergeCell ref="C27:C29"/>
    <mergeCell ref="C30:C32"/>
    <mergeCell ref="A36:A38"/>
    <mergeCell ref="C36:C38"/>
    <mergeCell ref="A39:A41"/>
    <mergeCell ref="C39:C41"/>
    <mergeCell ref="A42:A44"/>
    <mergeCell ref="V57:V59"/>
    <mergeCell ref="W57:W59"/>
    <mergeCell ref="O57:O59"/>
    <mergeCell ref="P57:P59"/>
    <mergeCell ref="Q57:Q59"/>
    <mergeCell ref="R57:R59"/>
    <mergeCell ref="S57:S59"/>
    <mergeCell ref="T57:T59"/>
    <mergeCell ref="U57:U59"/>
    <mergeCell ref="A54:A56"/>
    <mergeCell ref="D54:D56"/>
    <mergeCell ref="E54:E56"/>
    <mergeCell ref="F54:F56"/>
    <mergeCell ref="G54:G56"/>
    <mergeCell ref="H54:H56"/>
    <mergeCell ref="H57:H59"/>
    <mergeCell ref="A57:A59"/>
    <mergeCell ref="A60:A62"/>
    <mergeCell ref="D60:D62"/>
    <mergeCell ref="E60:E62"/>
    <mergeCell ref="F60:F62"/>
    <mergeCell ref="G60:G62"/>
    <mergeCell ref="A63:A66"/>
    <mergeCell ref="H63:H6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2" max="2" width="9.38"/>
    <col customWidth="1" min="3" max="3" width="19.75"/>
    <col customWidth="1" hidden="1" min="15" max="15" width="12.38"/>
    <col customWidth="1" hidden="1" min="16" max="16" width="25.0"/>
    <col customWidth="1" hidden="1" min="17" max="17" width="23.88"/>
    <col customWidth="1" hidden="1" min="18" max="18" width="9.13"/>
    <col customWidth="1" hidden="1" min="19" max="19" width="26.38"/>
    <col customWidth="1" hidden="1" min="20" max="20" width="21.0"/>
    <col customWidth="1" hidden="1" min="21" max="21" width="15.75"/>
    <col hidden="1" min="22" max="23" width="12.63"/>
    <col customWidth="1" hidden="1" min="24" max="24" width="6.13"/>
  </cols>
  <sheetData>
    <row r="1">
      <c r="A1" s="186" t="s">
        <v>249</v>
      </c>
      <c r="B1" s="187" t="s">
        <v>250</v>
      </c>
      <c r="C1" s="187"/>
      <c r="D1" s="186"/>
      <c r="E1" s="186" t="s">
        <v>251</v>
      </c>
      <c r="F1" s="188" t="s">
        <v>252</v>
      </c>
      <c r="G1" s="189" t="s">
        <v>162</v>
      </c>
      <c r="H1" s="189" t="s">
        <v>176</v>
      </c>
      <c r="I1" s="189" t="s">
        <v>171</v>
      </c>
      <c r="J1" s="189" t="s">
        <v>172</v>
      </c>
      <c r="K1" s="189" t="s">
        <v>167</v>
      </c>
      <c r="L1" s="189" t="s">
        <v>175</v>
      </c>
      <c r="M1" s="189" t="s">
        <v>174</v>
      </c>
      <c r="N1" s="189" t="s">
        <v>112</v>
      </c>
      <c r="Q1" s="97" t="s">
        <v>253</v>
      </c>
      <c r="R1" s="31">
        <v>4.0</v>
      </c>
      <c r="S1" s="31">
        <v>6.0</v>
      </c>
      <c r="U1" s="31">
        <v>24.0</v>
      </c>
      <c r="V1">
        <f>COUNTIF(#REF!,24)</f>
        <v>0</v>
      </c>
      <c r="W1">
        <f>V1*3</f>
        <v>0</v>
      </c>
      <c r="X1" s="103"/>
    </row>
    <row r="2">
      <c r="A2" s="94">
        <v>1.0</v>
      </c>
      <c r="B2" s="190" t="s">
        <v>254</v>
      </c>
      <c r="C2" s="190" t="s">
        <v>255</v>
      </c>
      <c r="D2" s="191" t="s">
        <v>159</v>
      </c>
      <c r="E2" s="192" t="s">
        <v>162</v>
      </c>
      <c r="F2" s="94" t="s">
        <v>159</v>
      </c>
      <c r="G2" s="94"/>
      <c r="H2" s="94"/>
      <c r="I2" s="94"/>
      <c r="J2" s="94"/>
      <c r="K2" s="94"/>
      <c r="L2" s="94"/>
      <c r="M2" s="94"/>
      <c r="N2" s="94"/>
      <c r="Q2" s="44" t="s">
        <v>256</v>
      </c>
      <c r="R2" s="31">
        <v>3.0</v>
      </c>
      <c r="S2" s="31">
        <v>3.0</v>
      </c>
      <c r="U2" s="31">
        <v>26.0</v>
      </c>
      <c r="V2">
        <f>COUNTIF(#REF!,26)</f>
        <v>0</v>
      </c>
      <c r="W2">
        <f>V2*3+1</f>
        <v>1</v>
      </c>
      <c r="X2" s="193"/>
    </row>
    <row r="3">
      <c r="B3" s="190" t="s">
        <v>257</v>
      </c>
      <c r="C3" s="190" t="s">
        <v>258</v>
      </c>
      <c r="D3" s="191" t="s">
        <v>159</v>
      </c>
      <c r="G3" s="94"/>
      <c r="H3" s="94"/>
      <c r="I3" s="94"/>
      <c r="J3" s="94"/>
      <c r="L3" s="94"/>
      <c r="M3" s="94"/>
      <c r="N3" s="94"/>
      <c r="Q3" s="194" t="s">
        <v>259</v>
      </c>
      <c r="R3" s="31" t="s">
        <v>260</v>
      </c>
      <c r="S3" s="31">
        <v>3.0</v>
      </c>
      <c r="V3" s="193"/>
      <c r="W3" s="193"/>
      <c r="X3" s="193"/>
    </row>
    <row r="4">
      <c r="B4" s="195" t="s">
        <v>261</v>
      </c>
      <c r="C4" s="195" t="s">
        <v>262</v>
      </c>
      <c r="D4" s="191" t="s">
        <v>263</v>
      </c>
      <c r="G4" s="94"/>
      <c r="H4" s="94"/>
      <c r="I4" s="94"/>
      <c r="J4" s="94"/>
      <c r="L4" s="94"/>
      <c r="M4" s="94"/>
      <c r="N4" s="94"/>
      <c r="V4" s="193"/>
      <c r="W4" s="193"/>
      <c r="X4" s="193"/>
    </row>
    <row r="5">
      <c r="A5" s="107">
        <v>2.0</v>
      </c>
      <c r="B5" s="196" t="s">
        <v>264</v>
      </c>
      <c r="C5" s="196" t="s">
        <v>265</v>
      </c>
      <c r="D5" s="197" t="s">
        <v>263</v>
      </c>
      <c r="E5" s="198" t="s">
        <v>167</v>
      </c>
      <c r="F5" s="107" t="s">
        <v>263</v>
      </c>
      <c r="G5" s="107"/>
      <c r="H5" s="107"/>
      <c r="I5" s="107"/>
      <c r="J5" s="107"/>
      <c r="K5" s="107"/>
      <c r="L5" s="107"/>
      <c r="M5" s="107"/>
      <c r="N5" s="107"/>
      <c r="V5" s="199"/>
      <c r="W5" s="199"/>
      <c r="X5" s="199"/>
    </row>
    <row r="6">
      <c r="B6" s="196" t="s">
        <v>266</v>
      </c>
      <c r="C6" s="196" t="s">
        <v>267</v>
      </c>
      <c r="D6" s="197" t="s">
        <v>263</v>
      </c>
      <c r="G6" s="107"/>
      <c r="H6" s="107"/>
      <c r="I6" s="107"/>
      <c r="J6" s="107"/>
      <c r="L6" s="107"/>
      <c r="M6" s="107"/>
      <c r="N6" s="107"/>
      <c r="V6" s="199"/>
      <c r="W6" s="199"/>
      <c r="X6" s="199"/>
    </row>
    <row r="7">
      <c r="B7" s="196" t="s">
        <v>268</v>
      </c>
      <c r="C7" s="196" t="s">
        <v>269</v>
      </c>
      <c r="D7" s="197" t="s">
        <v>158</v>
      </c>
      <c r="G7" s="107"/>
      <c r="H7" s="107"/>
      <c r="I7" s="107"/>
      <c r="J7" s="107"/>
      <c r="L7" s="107"/>
      <c r="M7" s="107"/>
      <c r="N7" s="107"/>
      <c r="V7" s="193"/>
      <c r="W7" s="193"/>
      <c r="X7" s="193"/>
    </row>
    <row r="8">
      <c r="A8" s="94">
        <v>3.0</v>
      </c>
      <c r="B8" s="195" t="s">
        <v>270</v>
      </c>
      <c r="C8" s="195" t="s">
        <v>271</v>
      </c>
      <c r="D8" s="191" t="s">
        <v>263</v>
      </c>
      <c r="E8" s="198" t="s">
        <v>167</v>
      </c>
      <c r="F8" s="94" t="s">
        <v>263</v>
      </c>
      <c r="G8" s="94"/>
      <c r="H8" s="94"/>
      <c r="I8" s="94"/>
      <c r="J8" s="94"/>
      <c r="K8" s="94"/>
      <c r="L8" s="94"/>
      <c r="M8" s="94"/>
      <c r="N8" s="94"/>
      <c r="V8" s="199"/>
      <c r="W8" s="199"/>
      <c r="X8" s="199"/>
    </row>
    <row r="9">
      <c r="B9" s="195" t="s">
        <v>257</v>
      </c>
      <c r="C9" s="195" t="s">
        <v>272</v>
      </c>
      <c r="D9" s="191" t="s">
        <v>263</v>
      </c>
      <c r="G9" s="94"/>
      <c r="H9" s="94"/>
      <c r="I9" s="94"/>
      <c r="J9" s="94"/>
      <c r="L9" s="94"/>
      <c r="M9" s="94"/>
      <c r="N9" s="94"/>
      <c r="P9" s="200" t="s">
        <v>273</v>
      </c>
      <c r="Q9" s="201">
        <v>17.0</v>
      </c>
      <c r="R9" s="202">
        <f>Q9*3</f>
        <v>51</v>
      </c>
      <c r="S9" s="203"/>
      <c r="T9" s="203"/>
      <c r="U9" s="204"/>
      <c r="V9" s="205"/>
      <c r="W9" s="199"/>
      <c r="X9" s="199"/>
    </row>
    <row r="10">
      <c r="B10" s="195" t="s">
        <v>274</v>
      </c>
      <c r="C10" s="195" t="s">
        <v>275</v>
      </c>
      <c r="D10" s="191" t="s">
        <v>158</v>
      </c>
      <c r="G10" s="94"/>
      <c r="H10" s="94"/>
      <c r="I10" s="94"/>
      <c r="J10" s="94"/>
      <c r="L10" s="94"/>
      <c r="M10" s="94"/>
      <c r="N10" s="94"/>
      <c r="P10" s="206"/>
      <c r="Q10" s="207"/>
      <c r="R10" s="113"/>
      <c r="S10" s="113"/>
      <c r="T10" s="113"/>
      <c r="U10" s="208"/>
      <c r="V10" s="209"/>
      <c r="W10" s="199"/>
      <c r="X10" s="199"/>
    </row>
    <row r="11" ht="15.75" customHeight="1">
      <c r="A11" s="136">
        <v>4.0</v>
      </c>
      <c r="B11" s="196" t="s">
        <v>276</v>
      </c>
      <c r="C11" s="196" t="s">
        <v>277</v>
      </c>
      <c r="D11" s="197" t="s">
        <v>263</v>
      </c>
      <c r="E11" s="198" t="s">
        <v>176</v>
      </c>
      <c r="F11" s="107" t="s">
        <v>263</v>
      </c>
      <c r="G11" s="107"/>
      <c r="H11" s="107"/>
      <c r="I11" s="107"/>
      <c r="J11" s="107"/>
      <c r="K11" s="107"/>
      <c r="L11" s="107"/>
      <c r="M11" s="107"/>
      <c r="N11" s="107"/>
      <c r="P11" s="206"/>
      <c r="Q11" s="207"/>
      <c r="R11" s="210" t="s">
        <v>278</v>
      </c>
      <c r="S11" s="210" t="s">
        <v>279</v>
      </c>
      <c r="T11" s="210" t="s">
        <v>280</v>
      </c>
      <c r="U11" s="211" t="s">
        <v>281</v>
      </c>
      <c r="V11" s="212" t="s">
        <v>282</v>
      </c>
      <c r="W11" s="199"/>
      <c r="X11" s="199"/>
    </row>
    <row r="12">
      <c r="B12" s="196" t="s">
        <v>100</v>
      </c>
      <c r="C12" s="196" t="s">
        <v>283</v>
      </c>
      <c r="D12" s="197" t="s">
        <v>263</v>
      </c>
      <c r="G12" s="107"/>
      <c r="H12" s="107"/>
      <c r="I12" s="107"/>
      <c r="J12" s="107"/>
      <c r="L12" s="107"/>
      <c r="M12" s="107"/>
      <c r="N12" s="107"/>
      <c r="P12" s="213" t="s">
        <v>162</v>
      </c>
      <c r="Q12" s="13"/>
      <c r="R12" s="26">
        <v>13.0</v>
      </c>
      <c r="S12" s="214">
        <f t="shared" ref="S12:S19" si="1">R12*$Q$9/$R$20</f>
        <v>3.25</v>
      </c>
      <c r="T12" s="215">
        <f t="shared" ref="T12:T19" si="2">round(S12,0)</f>
        <v>3</v>
      </c>
      <c r="U12" s="216">
        <v>3.0</v>
      </c>
      <c r="V12" s="209">
        <f>COUNTIF(#REF!,"JOAN")</f>
        <v>0</v>
      </c>
      <c r="W12" s="199"/>
      <c r="X12" s="199"/>
    </row>
    <row r="13">
      <c r="B13" s="196" t="s">
        <v>264</v>
      </c>
      <c r="C13" s="196" t="s">
        <v>284</v>
      </c>
      <c r="D13" s="197" t="s">
        <v>263</v>
      </c>
      <c r="G13" s="107"/>
      <c r="H13" s="107"/>
      <c r="I13" s="107"/>
      <c r="J13" s="107"/>
      <c r="L13" s="107"/>
      <c r="M13" s="107"/>
      <c r="N13" s="107"/>
      <c r="P13" s="217" t="s">
        <v>191</v>
      </c>
      <c r="Q13" s="22"/>
      <c r="R13" s="26">
        <v>11.0</v>
      </c>
      <c r="S13" s="214">
        <f t="shared" si="1"/>
        <v>2.75</v>
      </c>
      <c r="T13" s="215">
        <f t="shared" si="2"/>
        <v>3</v>
      </c>
      <c r="U13" s="218">
        <v>3.0</v>
      </c>
      <c r="V13" s="209">
        <f>COUNTIF(#REF!,"DAVID")</f>
        <v>0</v>
      </c>
      <c r="W13" s="199"/>
      <c r="X13" s="199"/>
    </row>
    <row r="14" ht="14.25" customHeight="1">
      <c r="A14" s="143">
        <v>5.0</v>
      </c>
      <c r="B14" s="195" t="s">
        <v>285</v>
      </c>
      <c r="C14" s="195" t="s">
        <v>286</v>
      </c>
      <c r="D14" s="191" t="s">
        <v>263</v>
      </c>
      <c r="E14" s="198" t="s">
        <v>174</v>
      </c>
      <c r="F14" s="94" t="s">
        <v>263</v>
      </c>
      <c r="G14" s="94"/>
      <c r="H14" s="94"/>
      <c r="I14" s="94"/>
      <c r="J14" s="94"/>
      <c r="K14" s="94"/>
      <c r="L14" s="94"/>
      <c r="M14" s="94"/>
      <c r="N14" s="94"/>
      <c r="O14" s="219"/>
      <c r="P14" s="217" t="s">
        <v>175</v>
      </c>
      <c r="Q14" s="22"/>
      <c r="R14" s="26">
        <v>11.0</v>
      </c>
      <c r="S14" s="214">
        <f t="shared" si="1"/>
        <v>2.75</v>
      </c>
      <c r="T14" s="215">
        <f t="shared" si="2"/>
        <v>3</v>
      </c>
      <c r="U14" s="218">
        <v>3.0</v>
      </c>
      <c r="V14" s="209">
        <f>COUNTIF(#REF!,"VANESA")</f>
        <v>0</v>
      </c>
      <c r="W14" s="199"/>
      <c r="X14" s="199"/>
    </row>
    <row r="15">
      <c r="B15" s="195" t="s">
        <v>287</v>
      </c>
      <c r="C15" s="195" t="s">
        <v>288</v>
      </c>
      <c r="D15" s="191" t="s">
        <v>263</v>
      </c>
      <c r="G15" s="94"/>
      <c r="H15" s="94"/>
      <c r="I15" s="94"/>
      <c r="J15" s="94"/>
      <c r="L15" s="94"/>
      <c r="M15" s="94"/>
      <c r="N15" s="94"/>
      <c r="P15" s="220" t="s">
        <v>171</v>
      </c>
      <c r="Q15" s="22"/>
      <c r="R15" s="26">
        <v>10.0</v>
      </c>
      <c r="S15" s="214">
        <f t="shared" si="1"/>
        <v>2.5</v>
      </c>
      <c r="T15" s="215">
        <f t="shared" si="2"/>
        <v>3</v>
      </c>
      <c r="U15" s="216">
        <v>2.0</v>
      </c>
      <c r="V15" s="209">
        <f>COUNTIF(#REF!,"PAU")</f>
        <v>0</v>
      </c>
      <c r="W15" s="199"/>
      <c r="X15" s="199"/>
    </row>
    <row r="16">
      <c r="B16" s="195" t="s">
        <v>289</v>
      </c>
      <c r="C16" s="195" t="s">
        <v>290</v>
      </c>
      <c r="D16" s="191" t="s">
        <v>158</v>
      </c>
      <c r="G16" s="94"/>
      <c r="H16" s="94"/>
      <c r="I16" s="94"/>
      <c r="J16" s="94"/>
      <c r="L16" s="94"/>
      <c r="M16" s="94"/>
      <c r="N16" s="94"/>
      <c r="P16" s="220" t="s">
        <v>167</v>
      </c>
      <c r="Q16" s="22"/>
      <c r="R16" s="26">
        <v>6.0</v>
      </c>
      <c r="S16" s="214">
        <f t="shared" si="1"/>
        <v>1.5</v>
      </c>
      <c r="T16" s="215">
        <f t="shared" si="2"/>
        <v>2</v>
      </c>
      <c r="U16" s="218">
        <v>2.0</v>
      </c>
      <c r="V16" s="209">
        <f>COUNTIF(#REF!,"OSCAR")</f>
        <v>0</v>
      </c>
      <c r="W16" s="199"/>
      <c r="X16" s="199"/>
    </row>
    <row r="17">
      <c r="A17" s="107">
        <v>6.0</v>
      </c>
      <c r="B17" s="196" t="s">
        <v>291</v>
      </c>
      <c r="C17" s="196" t="s">
        <v>292</v>
      </c>
      <c r="D17" s="197" t="s">
        <v>263</v>
      </c>
      <c r="E17" s="198" t="s">
        <v>167</v>
      </c>
      <c r="F17" s="107" t="s">
        <v>263</v>
      </c>
      <c r="G17" s="107"/>
      <c r="H17" s="107"/>
      <c r="I17" s="107"/>
      <c r="J17" s="107"/>
      <c r="K17" s="107"/>
      <c r="L17" s="107"/>
      <c r="M17" s="107"/>
      <c r="N17" s="107"/>
      <c r="P17" s="221" t="s">
        <v>112</v>
      </c>
      <c r="Q17" s="22"/>
      <c r="R17" s="222">
        <v>6.0</v>
      </c>
      <c r="S17" s="214">
        <f t="shared" si="1"/>
        <v>1.5</v>
      </c>
      <c r="T17" s="215">
        <f t="shared" si="2"/>
        <v>2</v>
      </c>
      <c r="U17" s="218">
        <v>2.0</v>
      </c>
      <c r="V17" s="209">
        <f>COUNTIF(#REF!,"ROGER")</f>
        <v>0</v>
      </c>
      <c r="W17" s="199"/>
      <c r="X17" s="199"/>
    </row>
    <row r="18">
      <c r="B18" s="196" t="s">
        <v>293</v>
      </c>
      <c r="C18" s="196" t="s">
        <v>294</v>
      </c>
      <c r="D18" s="197" t="s">
        <v>263</v>
      </c>
      <c r="G18" s="107"/>
      <c r="H18" s="107"/>
      <c r="I18" s="107"/>
      <c r="J18" s="107"/>
      <c r="L18" s="107"/>
      <c r="M18" s="107"/>
      <c r="N18" s="107"/>
      <c r="P18" s="221" t="s">
        <v>295</v>
      </c>
      <c r="Q18" s="22"/>
      <c r="R18" s="26">
        <v>6.0</v>
      </c>
      <c r="S18" s="214">
        <f t="shared" si="1"/>
        <v>1.5</v>
      </c>
      <c r="T18" s="215">
        <f t="shared" si="2"/>
        <v>2</v>
      </c>
      <c r="U18" s="216">
        <v>1.0</v>
      </c>
      <c r="V18" s="209">
        <f>COUNTIF(#REF!,"JAVIER")</f>
        <v>0</v>
      </c>
      <c r="W18" s="199"/>
      <c r="X18" s="199"/>
    </row>
    <row r="19">
      <c r="B19" s="196" t="s">
        <v>296</v>
      </c>
      <c r="C19" s="196" t="s">
        <v>297</v>
      </c>
      <c r="D19" s="197" t="s">
        <v>159</v>
      </c>
      <c r="G19" s="107"/>
      <c r="H19" s="107"/>
      <c r="I19" s="107"/>
      <c r="J19" s="107"/>
      <c r="L19" s="107"/>
      <c r="M19" s="107"/>
      <c r="N19" s="107"/>
      <c r="O19" s="219"/>
      <c r="P19" s="221" t="s">
        <v>186</v>
      </c>
      <c r="Q19" s="223"/>
      <c r="R19" s="222">
        <v>5.0</v>
      </c>
      <c r="S19" s="214">
        <f t="shared" si="1"/>
        <v>1.25</v>
      </c>
      <c r="T19" s="215">
        <f t="shared" si="2"/>
        <v>1</v>
      </c>
      <c r="U19" s="216">
        <v>1.0</v>
      </c>
      <c r="V19" s="209">
        <f>COUNTIF(#REF!,"ROMÀ")</f>
        <v>0</v>
      </c>
      <c r="W19" s="199"/>
      <c r="X19" s="199"/>
    </row>
    <row r="20">
      <c r="A20" s="147">
        <v>7.0</v>
      </c>
      <c r="B20" s="195" t="s">
        <v>298</v>
      </c>
      <c r="C20" s="195" t="s">
        <v>299</v>
      </c>
      <c r="D20" s="191" t="s">
        <v>159</v>
      </c>
      <c r="E20" s="94" t="s">
        <v>171</v>
      </c>
      <c r="F20" s="94" t="s">
        <v>159</v>
      </c>
      <c r="G20" s="94"/>
      <c r="H20" s="94"/>
      <c r="I20" s="94"/>
      <c r="J20" s="94"/>
      <c r="K20" s="94"/>
      <c r="L20" s="94"/>
      <c r="M20" s="94"/>
      <c r="N20" s="94"/>
      <c r="P20" s="224"/>
      <c r="Q20" s="225" t="s">
        <v>300</v>
      </c>
      <c r="R20" s="225">
        <f>sum(R12:R19)</f>
        <v>68</v>
      </c>
      <c r="S20" s="226"/>
      <c r="T20" s="227">
        <f t="shared" ref="T20:V20" si="3">SUM(T12:T19)</f>
        <v>19</v>
      </c>
      <c r="U20" s="228">
        <f t="shared" si="3"/>
        <v>17</v>
      </c>
      <c r="V20" s="229">
        <f t="shared" si="3"/>
        <v>0</v>
      </c>
      <c r="W20" s="199"/>
      <c r="X20" s="199"/>
    </row>
    <row r="21">
      <c r="B21" s="195" t="s">
        <v>301</v>
      </c>
      <c r="C21" s="195" t="s">
        <v>302</v>
      </c>
      <c r="D21" s="191" t="s">
        <v>159</v>
      </c>
      <c r="G21" s="94"/>
      <c r="H21" s="94"/>
      <c r="I21" s="94"/>
      <c r="J21" s="94"/>
      <c r="L21" s="94"/>
      <c r="M21" s="94"/>
      <c r="N21" s="94"/>
      <c r="V21" s="199"/>
      <c r="W21" s="199"/>
      <c r="X21" s="199"/>
    </row>
    <row r="22">
      <c r="B22" s="195" t="s">
        <v>303</v>
      </c>
      <c r="C22" s="195" t="s">
        <v>304</v>
      </c>
      <c r="D22" s="191" t="s">
        <v>159</v>
      </c>
      <c r="G22" s="94"/>
      <c r="H22" s="94"/>
      <c r="I22" s="94"/>
      <c r="J22" s="94"/>
      <c r="L22" s="94"/>
      <c r="M22" s="94"/>
      <c r="N22" s="94"/>
      <c r="V22" s="199"/>
      <c r="W22" s="199"/>
      <c r="X22" s="199"/>
    </row>
    <row r="23">
      <c r="A23" s="155">
        <v>8.0</v>
      </c>
      <c r="B23" s="196" t="s">
        <v>305</v>
      </c>
      <c r="C23" s="196" t="s">
        <v>306</v>
      </c>
      <c r="D23" s="197" t="s">
        <v>159</v>
      </c>
      <c r="E23" s="198" t="s">
        <v>172</v>
      </c>
      <c r="F23" s="107" t="s">
        <v>159</v>
      </c>
      <c r="G23" s="107"/>
      <c r="H23" s="107"/>
      <c r="I23" s="107"/>
      <c r="J23" s="107"/>
      <c r="K23" s="107"/>
      <c r="L23" s="107"/>
      <c r="M23" s="107"/>
      <c r="N23" s="107"/>
      <c r="V23" s="199"/>
      <c r="W23" s="199"/>
      <c r="X23" s="199"/>
    </row>
    <row r="24">
      <c r="B24" s="196" t="s">
        <v>307</v>
      </c>
      <c r="C24" s="196" t="s">
        <v>308</v>
      </c>
      <c r="D24" s="197" t="s">
        <v>159</v>
      </c>
      <c r="G24" s="107"/>
      <c r="H24" s="107"/>
      <c r="I24" s="107"/>
      <c r="J24" s="107"/>
      <c r="L24" s="107"/>
      <c r="M24" s="107"/>
      <c r="N24" s="107"/>
      <c r="V24" s="230"/>
      <c r="W24" s="230"/>
      <c r="X24" s="230"/>
    </row>
    <row r="25">
      <c r="B25" s="196" t="s">
        <v>309</v>
      </c>
      <c r="C25" s="196" t="s">
        <v>310</v>
      </c>
      <c r="D25" s="197" t="s">
        <v>159</v>
      </c>
      <c r="G25" s="107"/>
      <c r="H25" s="107"/>
      <c r="I25" s="107"/>
      <c r="J25" s="107"/>
      <c r="L25" s="107"/>
      <c r="M25" s="107"/>
      <c r="N25" s="107"/>
      <c r="V25" s="231"/>
      <c r="W25" s="231"/>
      <c r="X25" s="231"/>
    </row>
    <row r="26">
      <c r="A26" s="143">
        <v>9.0</v>
      </c>
      <c r="B26" s="195" t="s">
        <v>315</v>
      </c>
      <c r="C26" s="195" t="s">
        <v>317</v>
      </c>
      <c r="D26" s="191" t="s">
        <v>159</v>
      </c>
      <c r="E26" s="192" t="s">
        <v>162</v>
      </c>
      <c r="F26" s="94" t="s">
        <v>159</v>
      </c>
      <c r="G26" s="94"/>
      <c r="H26" s="94"/>
      <c r="I26" s="94"/>
      <c r="J26" s="94"/>
      <c r="K26" s="94"/>
      <c r="L26" s="94"/>
      <c r="M26" s="94"/>
      <c r="N26" s="94"/>
      <c r="V26" s="232"/>
      <c r="W26" s="232"/>
      <c r="X26" s="232"/>
    </row>
    <row r="27">
      <c r="B27" s="195" t="s">
        <v>323</v>
      </c>
      <c r="C27" s="195" t="s">
        <v>325</v>
      </c>
      <c r="D27" s="191" t="s">
        <v>263</v>
      </c>
      <c r="G27" s="94"/>
      <c r="H27" s="94"/>
      <c r="I27" s="94"/>
      <c r="L27" s="94"/>
      <c r="M27" s="94"/>
      <c r="N27" s="94"/>
      <c r="V27" s="233"/>
      <c r="W27" s="233"/>
      <c r="X27" s="233"/>
    </row>
    <row r="28">
      <c r="B28" s="195" t="s">
        <v>329</v>
      </c>
      <c r="C28" s="195" t="s">
        <v>330</v>
      </c>
      <c r="D28" s="191" t="s">
        <v>159</v>
      </c>
      <c r="G28" s="94"/>
      <c r="H28" s="94"/>
      <c r="I28" s="94"/>
      <c r="L28" s="94"/>
      <c r="M28" s="94"/>
      <c r="N28" s="94"/>
      <c r="V28" s="199"/>
      <c r="W28" s="199"/>
      <c r="X28" s="199"/>
    </row>
    <row r="29">
      <c r="A29" s="136">
        <v>10.0</v>
      </c>
      <c r="B29" s="196" t="s">
        <v>323</v>
      </c>
      <c r="C29" s="196" t="s">
        <v>334</v>
      </c>
      <c r="D29" s="197" t="s">
        <v>263</v>
      </c>
      <c r="E29" s="94" t="s">
        <v>171</v>
      </c>
      <c r="F29" s="107" t="s">
        <v>159</v>
      </c>
      <c r="G29" s="107"/>
      <c r="H29" s="107"/>
      <c r="I29" s="107"/>
      <c r="J29" s="107"/>
      <c r="K29" s="107"/>
      <c r="L29" s="107"/>
      <c r="M29" s="107"/>
      <c r="N29" s="107"/>
      <c r="V29" s="199"/>
      <c r="W29" s="199"/>
      <c r="X29" s="199"/>
    </row>
    <row r="30">
      <c r="B30" s="196" t="s">
        <v>339</v>
      </c>
      <c r="C30" s="196" t="s">
        <v>340</v>
      </c>
      <c r="D30" s="197" t="s">
        <v>263</v>
      </c>
      <c r="V30" s="234"/>
      <c r="W30" s="234"/>
      <c r="X30" s="234"/>
    </row>
    <row r="31">
      <c r="B31" s="235" t="s">
        <v>341</v>
      </c>
      <c r="C31" s="235" t="s">
        <v>342</v>
      </c>
      <c r="D31" s="197" t="s">
        <v>159</v>
      </c>
      <c r="V31" s="234"/>
      <c r="W31" s="234"/>
      <c r="X31" s="234"/>
    </row>
    <row r="32">
      <c r="A32" s="143">
        <v>11.0</v>
      </c>
      <c r="B32" s="195" t="s">
        <v>343</v>
      </c>
      <c r="C32" s="195" t="s">
        <v>344</v>
      </c>
      <c r="D32" s="191" t="s">
        <v>263</v>
      </c>
      <c r="E32" s="198" t="s">
        <v>167</v>
      </c>
      <c r="F32" s="94" t="s">
        <v>263</v>
      </c>
      <c r="G32" s="94"/>
      <c r="H32" s="94"/>
      <c r="I32" s="94"/>
      <c r="J32" s="94"/>
      <c r="K32" s="94"/>
      <c r="L32" s="94"/>
      <c r="M32" s="94"/>
      <c r="N32" s="94"/>
    </row>
    <row r="33">
      <c r="B33" s="195" t="s">
        <v>345</v>
      </c>
      <c r="C33" s="195" t="s">
        <v>346</v>
      </c>
      <c r="D33" s="191" t="s">
        <v>263</v>
      </c>
      <c r="G33" s="94"/>
      <c r="H33" s="94"/>
      <c r="I33" s="94"/>
      <c r="J33" s="94"/>
      <c r="L33" s="94"/>
      <c r="M33" s="94"/>
      <c r="N33" s="94"/>
      <c r="V33" s="103"/>
      <c r="W33" s="103"/>
      <c r="X33" s="103"/>
    </row>
    <row r="34">
      <c r="B34" s="190" t="s">
        <v>347</v>
      </c>
      <c r="C34" s="190" t="s">
        <v>348</v>
      </c>
      <c r="D34" s="191" t="s">
        <v>159</v>
      </c>
      <c r="G34" s="94"/>
      <c r="H34" s="94"/>
      <c r="I34" s="94"/>
      <c r="J34" s="94"/>
      <c r="L34" s="94"/>
      <c r="M34" s="94"/>
      <c r="N34" s="94"/>
      <c r="V34" s="231"/>
      <c r="W34" s="231"/>
      <c r="X34" s="231"/>
    </row>
    <row r="35">
      <c r="A35" s="169">
        <v>12.0</v>
      </c>
      <c r="B35" s="236" t="s">
        <v>305</v>
      </c>
      <c r="C35" s="236" t="s">
        <v>349</v>
      </c>
      <c r="D35" s="197" t="s">
        <v>158</v>
      </c>
      <c r="E35" s="192" t="s">
        <v>162</v>
      </c>
      <c r="F35" s="107" t="s">
        <v>158</v>
      </c>
      <c r="G35" s="107"/>
      <c r="H35" s="107"/>
      <c r="I35" s="107"/>
      <c r="J35" s="107"/>
      <c r="K35" s="107"/>
      <c r="L35" s="107"/>
      <c r="M35" s="107"/>
      <c r="N35" s="107"/>
      <c r="V35" s="231"/>
      <c r="W35" s="231"/>
      <c r="X35" s="231"/>
    </row>
    <row r="36">
      <c r="B36" s="236" t="s">
        <v>329</v>
      </c>
      <c r="C36" s="236" t="s">
        <v>350</v>
      </c>
      <c r="D36" s="197" t="s">
        <v>158</v>
      </c>
      <c r="G36" s="107"/>
      <c r="H36" s="107"/>
      <c r="I36" s="107"/>
      <c r="J36" s="107"/>
      <c r="L36" s="107"/>
      <c r="M36" s="107"/>
      <c r="N36" s="107"/>
      <c r="V36" s="237"/>
      <c r="W36" s="237"/>
      <c r="X36" s="237"/>
    </row>
    <row r="37">
      <c r="B37" s="236" t="s">
        <v>341</v>
      </c>
      <c r="C37" s="236" t="s">
        <v>351</v>
      </c>
      <c r="D37" s="197" t="s">
        <v>158</v>
      </c>
      <c r="G37" s="107"/>
      <c r="H37" s="107"/>
      <c r="I37" s="107"/>
      <c r="J37" s="107"/>
      <c r="L37" s="107"/>
      <c r="M37" s="107"/>
      <c r="N37" s="107"/>
      <c r="V37" s="231"/>
      <c r="W37" s="231"/>
      <c r="X37" s="231"/>
    </row>
    <row r="38">
      <c r="A38" s="147">
        <v>13.0</v>
      </c>
      <c r="B38" s="190" t="s">
        <v>352</v>
      </c>
      <c r="C38" s="190" t="s">
        <v>353</v>
      </c>
      <c r="D38" s="191" t="s">
        <v>158</v>
      </c>
      <c r="E38" s="198" t="s">
        <v>112</v>
      </c>
      <c r="F38" s="94" t="s">
        <v>158</v>
      </c>
      <c r="G38" s="94"/>
      <c r="H38" s="94"/>
      <c r="I38" s="94"/>
      <c r="J38" s="94"/>
      <c r="K38" s="94"/>
      <c r="L38" s="94"/>
      <c r="M38" s="94"/>
      <c r="N38" s="94"/>
      <c r="V38" s="231"/>
      <c r="W38" s="231"/>
      <c r="X38" s="231"/>
    </row>
    <row r="39">
      <c r="B39" s="190" t="s">
        <v>352</v>
      </c>
      <c r="C39" s="190" t="s">
        <v>354</v>
      </c>
      <c r="D39" s="191" t="s">
        <v>158</v>
      </c>
      <c r="G39" s="94"/>
      <c r="H39" s="94"/>
      <c r="I39" s="94"/>
      <c r="J39" s="94"/>
      <c r="L39" s="94"/>
      <c r="M39" s="94"/>
      <c r="N39" s="94"/>
      <c r="V39" s="231"/>
      <c r="W39" s="231"/>
      <c r="X39" s="231"/>
    </row>
    <row r="40">
      <c r="B40" s="190" t="s">
        <v>355</v>
      </c>
      <c r="C40" s="190" t="s">
        <v>356</v>
      </c>
      <c r="D40" s="191" t="s">
        <v>158</v>
      </c>
      <c r="G40" s="94"/>
      <c r="H40" s="94"/>
      <c r="I40" s="94"/>
      <c r="J40" s="94"/>
      <c r="L40" s="94"/>
      <c r="M40" s="94"/>
      <c r="N40" s="94"/>
      <c r="V40" s="231"/>
      <c r="W40" s="231"/>
      <c r="X40" s="231"/>
    </row>
    <row r="41">
      <c r="A41" s="169">
        <v>14.0</v>
      </c>
      <c r="B41" s="236" t="s">
        <v>289</v>
      </c>
      <c r="C41" s="236" t="s">
        <v>357</v>
      </c>
      <c r="D41" s="197" t="s">
        <v>158</v>
      </c>
      <c r="E41" s="192" t="s">
        <v>162</v>
      </c>
      <c r="F41" s="107" t="s">
        <v>158</v>
      </c>
      <c r="G41" s="107"/>
      <c r="H41" s="107"/>
      <c r="I41" s="107"/>
      <c r="J41" s="107"/>
      <c r="K41" s="107"/>
      <c r="L41" s="107"/>
      <c r="M41" s="107"/>
      <c r="N41" s="107"/>
      <c r="V41" s="231"/>
      <c r="W41" s="231"/>
      <c r="X41" s="231"/>
    </row>
    <row r="42">
      <c r="B42" s="236" t="s">
        <v>358</v>
      </c>
      <c r="C42" s="236" t="s">
        <v>357</v>
      </c>
      <c r="D42" s="197" t="s">
        <v>158</v>
      </c>
      <c r="G42" s="107"/>
      <c r="H42" s="107"/>
      <c r="I42" s="107"/>
      <c r="J42" s="107"/>
      <c r="L42" s="107"/>
      <c r="M42" s="107"/>
      <c r="N42" s="107"/>
      <c r="V42" s="231"/>
      <c r="W42" s="231"/>
      <c r="X42" s="231"/>
    </row>
    <row r="43">
      <c r="B43" s="236" t="s">
        <v>359</v>
      </c>
      <c r="C43" s="236" t="s">
        <v>360</v>
      </c>
      <c r="D43" s="197" t="s">
        <v>158</v>
      </c>
      <c r="G43" s="107"/>
      <c r="H43" s="107"/>
      <c r="I43" s="107"/>
      <c r="J43" s="107"/>
      <c r="L43" s="107"/>
      <c r="M43" s="107"/>
      <c r="N43" s="107"/>
      <c r="V43" s="231"/>
      <c r="W43" s="231"/>
      <c r="X43" s="231"/>
    </row>
    <row r="44">
      <c r="A44" s="147">
        <v>15.0</v>
      </c>
      <c r="B44" s="190" t="s">
        <v>182</v>
      </c>
      <c r="C44" s="190" t="s">
        <v>361</v>
      </c>
      <c r="D44" s="191" t="s">
        <v>158</v>
      </c>
      <c r="E44" s="198" t="s">
        <v>175</v>
      </c>
      <c r="F44" s="94" t="s">
        <v>158</v>
      </c>
      <c r="G44" s="94"/>
      <c r="H44" s="94"/>
      <c r="I44" s="94"/>
      <c r="J44" s="94"/>
      <c r="K44" s="94"/>
      <c r="L44" s="94"/>
      <c r="M44" s="94"/>
      <c r="N44" s="94"/>
      <c r="V44" s="231"/>
      <c r="W44" s="231"/>
      <c r="X44" s="231"/>
    </row>
    <row r="45">
      <c r="B45" s="190" t="s">
        <v>362</v>
      </c>
      <c r="C45" s="190" t="s">
        <v>363</v>
      </c>
      <c r="D45" s="191" t="s">
        <v>158</v>
      </c>
      <c r="G45" s="94"/>
      <c r="H45" s="94"/>
      <c r="I45" s="94"/>
      <c r="J45" s="94"/>
      <c r="L45" s="94"/>
      <c r="M45" s="94"/>
      <c r="N45" s="94"/>
      <c r="V45" s="231"/>
      <c r="W45" s="231"/>
      <c r="X45" s="231"/>
    </row>
    <row r="46">
      <c r="B46" s="190" t="s">
        <v>364</v>
      </c>
      <c r="C46" s="190" t="s">
        <v>365</v>
      </c>
      <c r="D46" s="191" t="s">
        <v>159</v>
      </c>
      <c r="G46" s="94"/>
      <c r="H46" s="94"/>
      <c r="I46" s="94"/>
      <c r="J46" s="94"/>
      <c r="L46" s="94"/>
      <c r="M46" s="94"/>
      <c r="N46" s="94"/>
      <c r="V46" s="231"/>
      <c r="W46" s="231"/>
      <c r="X46" s="231"/>
    </row>
    <row r="47">
      <c r="A47" s="169">
        <v>16.0</v>
      </c>
      <c r="B47" s="236" t="s">
        <v>359</v>
      </c>
      <c r="C47" s="236" t="s">
        <v>366</v>
      </c>
      <c r="D47" s="197" t="s">
        <v>159</v>
      </c>
      <c r="E47" s="198" t="s">
        <v>172</v>
      </c>
      <c r="F47" s="107" t="s">
        <v>159</v>
      </c>
      <c r="G47" s="107"/>
      <c r="H47" s="107"/>
      <c r="I47" s="107"/>
      <c r="J47" s="107"/>
      <c r="K47" s="107"/>
      <c r="L47" s="107"/>
      <c r="M47" s="107"/>
      <c r="N47" s="107"/>
      <c r="V47" s="231"/>
      <c r="W47" s="231"/>
      <c r="X47" s="231"/>
    </row>
    <row r="48">
      <c r="B48" s="196" t="s">
        <v>367</v>
      </c>
      <c r="C48" s="196" t="s">
        <v>368</v>
      </c>
      <c r="D48" s="197" t="s">
        <v>159</v>
      </c>
      <c r="G48" s="107"/>
      <c r="H48" s="107"/>
      <c r="I48" s="107"/>
      <c r="J48" s="107"/>
      <c r="L48" s="107"/>
      <c r="M48" s="107"/>
      <c r="N48" s="107"/>
      <c r="V48" s="231"/>
      <c r="W48" s="231"/>
      <c r="X48" s="231"/>
    </row>
    <row r="49">
      <c r="B49" s="196" t="s">
        <v>287</v>
      </c>
      <c r="C49" s="196" t="s">
        <v>369</v>
      </c>
      <c r="D49" s="197" t="s">
        <v>159</v>
      </c>
      <c r="G49" s="107"/>
      <c r="H49" s="107"/>
      <c r="I49" s="107"/>
      <c r="J49" s="107"/>
      <c r="L49" s="107"/>
      <c r="M49" s="107"/>
      <c r="N49" s="107"/>
      <c r="V49" s="231"/>
      <c r="W49" s="231"/>
      <c r="X49" s="231"/>
    </row>
    <row r="50">
      <c r="A50" s="147">
        <v>17.0</v>
      </c>
      <c r="B50" s="35" t="s">
        <v>274</v>
      </c>
      <c r="C50" s="35" t="s">
        <v>228</v>
      </c>
      <c r="D50" s="238" t="s">
        <v>370</v>
      </c>
      <c r="E50" s="94" t="s">
        <v>229</v>
      </c>
      <c r="F50" s="94">
        <v>44.0</v>
      </c>
      <c r="G50" s="94"/>
      <c r="H50" s="94"/>
      <c r="I50" s="94"/>
      <c r="J50" s="94"/>
      <c r="K50" s="94"/>
      <c r="L50" s="94"/>
      <c r="M50" s="94"/>
      <c r="N50" s="94"/>
      <c r="V50" s="231"/>
      <c r="W50" s="231"/>
      <c r="X50" s="231"/>
    </row>
    <row r="51">
      <c r="B51" s="35" t="s">
        <v>371</v>
      </c>
      <c r="C51" s="35" t="s">
        <v>230</v>
      </c>
      <c r="D51" s="238" t="s">
        <v>370</v>
      </c>
      <c r="G51" s="94"/>
      <c r="H51" s="94"/>
      <c r="I51" s="94"/>
      <c r="J51" s="94"/>
      <c r="K51" s="94"/>
      <c r="L51" s="94"/>
      <c r="M51" s="94"/>
      <c r="N51" s="94"/>
      <c r="V51" s="231"/>
      <c r="W51" s="231"/>
      <c r="X51" s="231"/>
    </row>
    <row r="52">
      <c r="B52" s="35" t="s">
        <v>372</v>
      </c>
      <c r="C52" s="35" t="s">
        <v>231</v>
      </c>
      <c r="D52" s="191" t="s">
        <v>370</v>
      </c>
      <c r="G52" s="94"/>
      <c r="H52" s="94"/>
      <c r="I52" s="94"/>
      <c r="J52" s="94"/>
      <c r="K52" s="94"/>
      <c r="L52" s="94"/>
      <c r="M52" s="94"/>
      <c r="N52" s="94"/>
      <c r="V52" s="231"/>
      <c r="W52" s="231"/>
      <c r="X52" s="231"/>
    </row>
    <row r="53">
      <c r="A53" s="169">
        <v>18.0</v>
      </c>
      <c r="B53" s="43" t="s">
        <v>373</v>
      </c>
      <c r="C53" s="43" t="s">
        <v>232</v>
      </c>
      <c r="D53" s="197" t="s">
        <v>370</v>
      </c>
      <c r="E53" s="169" t="s">
        <v>233</v>
      </c>
      <c r="F53" s="169">
        <v>44.0</v>
      </c>
      <c r="G53" s="169"/>
      <c r="H53" s="169"/>
      <c r="I53" s="169"/>
      <c r="J53" s="169"/>
      <c r="K53" s="169"/>
      <c r="L53" s="169"/>
      <c r="M53" s="169"/>
      <c r="N53" s="169"/>
      <c r="V53" s="231"/>
      <c r="W53" s="231"/>
      <c r="X53" s="231"/>
    </row>
    <row r="54">
      <c r="B54" s="43" t="s">
        <v>374</v>
      </c>
      <c r="C54" s="43" t="s">
        <v>234</v>
      </c>
      <c r="D54" s="197" t="s">
        <v>370</v>
      </c>
      <c r="G54" s="169"/>
      <c r="H54" s="169"/>
      <c r="I54" s="169"/>
      <c r="J54" s="169"/>
      <c r="K54" s="169"/>
      <c r="L54" s="169"/>
      <c r="M54" s="169"/>
      <c r="N54" s="169"/>
      <c r="V54" s="231"/>
      <c r="W54" s="231"/>
      <c r="X54" s="231"/>
    </row>
    <row r="55">
      <c r="B55" s="43" t="s">
        <v>375</v>
      </c>
      <c r="C55" s="43" t="s">
        <v>235</v>
      </c>
      <c r="D55" s="239" t="s">
        <v>370</v>
      </c>
      <c r="G55" s="169"/>
      <c r="H55" s="169"/>
      <c r="I55" s="169"/>
      <c r="J55" s="169"/>
      <c r="K55" s="169"/>
      <c r="L55" s="169"/>
      <c r="M55" s="169"/>
      <c r="N55" s="169"/>
      <c r="V55" s="231"/>
      <c r="W55" s="231"/>
      <c r="X55" s="231"/>
    </row>
    <row r="56">
      <c r="A56" s="147">
        <v>19.0</v>
      </c>
      <c r="B56" s="35" t="s">
        <v>376</v>
      </c>
      <c r="C56" s="35" t="s">
        <v>236</v>
      </c>
      <c r="D56" s="238" t="s">
        <v>370</v>
      </c>
      <c r="E56" s="94" t="s">
        <v>237</v>
      </c>
      <c r="F56" s="94">
        <v>44.0</v>
      </c>
      <c r="G56" s="94"/>
      <c r="H56" s="94"/>
      <c r="I56" s="94"/>
      <c r="J56" s="94"/>
      <c r="K56" s="94"/>
      <c r="L56" s="94"/>
      <c r="M56" s="94"/>
      <c r="N56" s="94"/>
      <c r="R56" s="240"/>
    </row>
    <row r="57">
      <c r="B57" s="35" t="s">
        <v>358</v>
      </c>
      <c r="C57" s="35" t="s">
        <v>238</v>
      </c>
      <c r="D57" s="238" t="s">
        <v>370</v>
      </c>
      <c r="G57" s="94"/>
      <c r="H57" s="94"/>
      <c r="I57" s="94"/>
      <c r="J57" s="94"/>
      <c r="K57" s="94"/>
      <c r="L57" s="94"/>
      <c r="M57" s="94"/>
      <c r="N57" s="94"/>
      <c r="R57" s="240"/>
    </row>
    <row r="58">
      <c r="B58" s="35" t="s">
        <v>377</v>
      </c>
      <c r="C58" s="35" t="s">
        <v>239</v>
      </c>
      <c r="D58" s="191" t="s">
        <v>370</v>
      </c>
      <c r="G58" s="94"/>
      <c r="H58" s="94"/>
      <c r="I58" s="94"/>
      <c r="J58" s="94"/>
      <c r="K58" s="94"/>
      <c r="L58" s="94"/>
      <c r="M58" s="94"/>
      <c r="N58" s="94"/>
      <c r="R58" s="240"/>
    </row>
    <row r="59">
      <c r="A59" s="169">
        <v>20.0</v>
      </c>
      <c r="B59" s="43" t="s">
        <v>378</v>
      </c>
      <c r="C59" s="43" t="s">
        <v>240</v>
      </c>
      <c r="D59" s="197" t="s">
        <v>370</v>
      </c>
      <c r="E59" s="169" t="s">
        <v>241</v>
      </c>
      <c r="F59" s="169">
        <v>44.0</v>
      </c>
      <c r="G59" s="169"/>
      <c r="H59" s="169"/>
      <c r="I59" s="169"/>
      <c r="J59" s="169"/>
      <c r="K59" s="169"/>
      <c r="L59" s="169"/>
      <c r="M59" s="169"/>
      <c r="N59" s="169"/>
      <c r="R59" s="240"/>
    </row>
    <row r="60">
      <c r="B60" s="43" t="s">
        <v>380</v>
      </c>
      <c r="C60" s="43" t="s">
        <v>242</v>
      </c>
      <c r="D60" s="197" t="s">
        <v>370</v>
      </c>
      <c r="G60" s="169"/>
      <c r="H60" s="169"/>
      <c r="I60" s="169"/>
      <c r="J60" s="169"/>
      <c r="K60" s="169"/>
      <c r="L60" s="169"/>
      <c r="M60" s="169"/>
      <c r="N60" s="169"/>
      <c r="R60" s="240"/>
    </row>
    <row r="61">
      <c r="B61" s="43" t="s">
        <v>382</v>
      </c>
      <c r="C61" s="43" t="s">
        <v>243</v>
      </c>
      <c r="D61" s="239" t="s">
        <v>370</v>
      </c>
      <c r="G61" s="169"/>
      <c r="H61" s="169"/>
      <c r="I61" s="169"/>
      <c r="J61" s="169"/>
      <c r="K61" s="169"/>
      <c r="L61" s="169"/>
      <c r="M61" s="169"/>
      <c r="N61" s="169"/>
      <c r="R61" s="240"/>
    </row>
    <row r="62">
      <c r="A62" s="147">
        <v>21.0</v>
      </c>
      <c r="B62" s="35" t="s">
        <v>384</v>
      </c>
      <c r="C62" s="35" t="s">
        <v>244</v>
      </c>
      <c r="D62" s="238" t="s">
        <v>370</v>
      </c>
      <c r="E62" s="94" t="s">
        <v>245</v>
      </c>
      <c r="F62" s="94">
        <v>44.0</v>
      </c>
      <c r="G62" s="94"/>
      <c r="H62" s="94"/>
      <c r="I62" s="94"/>
      <c r="J62" s="94"/>
      <c r="K62" s="94"/>
      <c r="L62" s="94"/>
      <c r="M62" s="94"/>
      <c r="N62" s="94"/>
      <c r="R62" s="240"/>
    </row>
    <row r="63">
      <c r="B63" s="35" t="s">
        <v>386</v>
      </c>
      <c r="C63" s="35" t="s">
        <v>246</v>
      </c>
      <c r="D63" s="238" t="s">
        <v>370</v>
      </c>
      <c r="G63" s="94"/>
      <c r="H63" s="94"/>
      <c r="I63" s="94"/>
      <c r="J63" s="94"/>
      <c r="K63" s="94"/>
      <c r="L63" s="94"/>
      <c r="M63" s="94"/>
      <c r="N63" s="94"/>
      <c r="R63" s="240"/>
    </row>
    <row r="64">
      <c r="B64" s="35" t="s">
        <v>387</v>
      </c>
      <c r="C64" s="35" t="s">
        <v>247</v>
      </c>
      <c r="D64" s="191" t="s">
        <v>370</v>
      </c>
      <c r="G64" s="94"/>
      <c r="H64" s="94"/>
      <c r="I64" s="94"/>
      <c r="J64" s="94"/>
      <c r="K64" s="94"/>
      <c r="L64" s="94"/>
      <c r="M64" s="94"/>
      <c r="N64" s="94"/>
      <c r="R64" s="240"/>
    </row>
    <row r="65">
      <c r="B65" s="35" t="s">
        <v>388</v>
      </c>
      <c r="C65" s="35" t="s">
        <v>248</v>
      </c>
      <c r="D65" s="191" t="s">
        <v>370</v>
      </c>
      <c r="G65" s="94"/>
      <c r="H65" s="94"/>
      <c r="I65" s="94"/>
      <c r="J65" s="94"/>
      <c r="K65" s="94"/>
      <c r="L65" s="94"/>
      <c r="M65" s="94"/>
      <c r="N65" s="94"/>
      <c r="R65" s="240"/>
    </row>
    <row r="66">
      <c r="A66" s="242"/>
      <c r="D66" s="30"/>
      <c r="E66" s="31"/>
      <c r="R66" s="240"/>
    </row>
    <row r="67" hidden="1">
      <c r="A67" s="243" t="s">
        <v>389</v>
      </c>
      <c r="D67" s="30"/>
      <c r="E67" s="31" t="s">
        <v>390</v>
      </c>
      <c r="F67">
        <f>COUNTIF(F2:F49,"A1")</f>
        <v>4</v>
      </c>
      <c r="R67" s="240"/>
    </row>
    <row r="68" hidden="1">
      <c r="D68" s="30"/>
      <c r="E68" s="31" t="s">
        <v>160</v>
      </c>
      <c r="F68">
        <f>COUNTIF(F2:F49,"B1")</f>
        <v>6</v>
      </c>
      <c r="R68" s="240"/>
    </row>
    <row r="69" hidden="1">
      <c r="B69" s="245" t="s">
        <v>339</v>
      </c>
      <c r="C69" s="245" t="s">
        <v>392</v>
      </c>
      <c r="D69" s="30"/>
      <c r="E69" s="31" t="s">
        <v>159</v>
      </c>
      <c r="F69">
        <f>COUNTIF(F2:F49,"A2")</f>
        <v>6</v>
      </c>
      <c r="R69" s="240"/>
    </row>
    <row r="70" hidden="1">
      <c r="B70" s="245" t="s">
        <v>323</v>
      </c>
      <c r="C70" s="245" t="s">
        <v>395</v>
      </c>
      <c r="D70" s="30"/>
      <c r="R70" s="240"/>
    </row>
    <row r="71" hidden="1">
      <c r="B71" s="245" t="s">
        <v>396</v>
      </c>
      <c r="C71" s="245" t="s">
        <v>397</v>
      </c>
      <c r="D71" s="30"/>
      <c r="R71" s="240"/>
    </row>
    <row r="72" hidden="1">
      <c r="B72" s="245" t="s">
        <v>398</v>
      </c>
      <c r="C72" s="245" t="s">
        <v>399</v>
      </c>
      <c r="D72" s="56"/>
      <c r="R72" s="240"/>
    </row>
    <row r="73" hidden="1">
      <c r="B73" s="41" t="s">
        <v>400</v>
      </c>
      <c r="C73" s="246"/>
      <c r="D73" s="30"/>
      <c r="R73" s="240"/>
    </row>
    <row r="74" hidden="1">
      <c r="B74" s="247" t="s">
        <v>401</v>
      </c>
      <c r="C74" s="248" t="s">
        <v>402</v>
      </c>
      <c r="D74" s="30"/>
      <c r="E74" s="30"/>
      <c r="F74" s="30"/>
      <c r="G74" s="30"/>
      <c r="H74" s="30"/>
      <c r="I74" s="30"/>
      <c r="J74" s="30"/>
      <c r="K74" s="30"/>
      <c r="L74" s="30"/>
      <c r="M74" s="30"/>
      <c r="N74" s="30"/>
      <c r="R74" s="240"/>
    </row>
    <row r="75" hidden="1">
      <c r="B75" s="247" t="s">
        <v>403</v>
      </c>
      <c r="C75" s="248" t="s">
        <v>404</v>
      </c>
      <c r="D75" s="30"/>
      <c r="R75" s="240"/>
    </row>
    <row r="76" hidden="1">
      <c r="B76" s="247" t="s">
        <v>405</v>
      </c>
      <c r="C76" s="248" t="s">
        <v>406</v>
      </c>
      <c r="D76" s="30"/>
      <c r="E76" s="30"/>
      <c r="F76" s="30"/>
      <c r="G76" s="30"/>
      <c r="H76" s="30"/>
      <c r="I76" s="30"/>
      <c r="J76" s="30"/>
      <c r="K76" s="30"/>
      <c r="L76" s="30"/>
      <c r="M76" s="30"/>
      <c r="N76" s="30"/>
      <c r="R76" s="240"/>
    </row>
    <row r="77" hidden="1">
      <c r="A77" s="30"/>
      <c r="B77" s="249"/>
      <c r="C77" s="249"/>
      <c r="D77" s="30"/>
      <c r="E77" s="30"/>
      <c r="F77" s="30"/>
      <c r="G77" s="30"/>
      <c r="H77" s="30"/>
      <c r="I77" s="30"/>
      <c r="J77" s="30"/>
      <c r="K77" s="30"/>
      <c r="L77" s="30"/>
      <c r="M77" s="30"/>
      <c r="N77" s="30"/>
      <c r="R77" s="240"/>
    </row>
    <row r="78" hidden="1">
      <c r="A78" s="30"/>
      <c r="B78" s="249"/>
      <c r="C78" s="249"/>
      <c r="D78" s="30"/>
      <c r="E78" s="30"/>
      <c r="F78" s="30"/>
      <c r="G78" s="30"/>
      <c r="H78" s="30"/>
      <c r="I78" s="30"/>
      <c r="J78" s="30"/>
      <c r="K78" s="30"/>
      <c r="L78" s="30"/>
      <c r="M78" s="30"/>
      <c r="N78" s="30"/>
      <c r="R78" s="240"/>
    </row>
    <row r="79" hidden="1">
      <c r="A79" s="30"/>
      <c r="B79" s="249"/>
      <c r="C79" s="249"/>
      <c r="D79" s="30"/>
      <c r="E79" s="30"/>
      <c r="F79" s="30"/>
      <c r="G79" s="30"/>
      <c r="H79" s="30"/>
      <c r="I79" s="30"/>
      <c r="J79" s="30"/>
      <c r="K79" s="30"/>
      <c r="L79" s="30"/>
      <c r="M79" s="30"/>
      <c r="N79" s="30"/>
      <c r="R79" s="240"/>
    </row>
    <row r="80" hidden="1">
      <c r="A80" s="30"/>
      <c r="B80" s="249"/>
      <c r="C80" s="249"/>
      <c r="D80" s="30"/>
      <c r="E80" s="30"/>
      <c r="F80" s="30"/>
      <c r="G80" s="30"/>
      <c r="H80" s="30"/>
      <c r="I80" s="30"/>
      <c r="J80" s="30"/>
      <c r="K80" s="30"/>
      <c r="L80" s="30"/>
      <c r="M80" s="30"/>
      <c r="N80" s="30"/>
      <c r="R80" s="240"/>
    </row>
    <row r="81" hidden="1">
      <c r="A81" s="30"/>
      <c r="B81" s="249"/>
      <c r="C81" s="249"/>
      <c r="D81" s="30"/>
      <c r="E81" s="30"/>
      <c r="F81" s="30"/>
      <c r="G81" s="30"/>
      <c r="H81" s="30"/>
      <c r="I81" s="30"/>
      <c r="J81" s="30"/>
      <c r="K81" s="30"/>
      <c r="L81" s="30"/>
      <c r="M81" s="30"/>
      <c r="N81" s="30"/>
      <c r="R81" s="240"/>
    </row>
    <row r="82" hidden="1">
      <c r="A82" s="30"/>
      <c r="B82" s="249"/>
      <c r="C82" s="249"/>
      <c r="D82" s="30"/>
      <c r="E82" s="30"/>
      <c r="F82" s="30"/>
      <c r="G82" s="30"/>
      <c r="H82" s="30"/>
      <c r="I82" s="30"/>
      <c r="J82" s="30"/>
      <c r="K82" s="30"/>
      <c r="L82" s="30"/>
      <c r="M82" s="30"/>
      <c r="N82" s="30"/>
      <c r="R82" s="240"/>
    </row>
    <row r="83" hidden="1">
      <c r="A83" s="30"/>
      <c r="B83" s="249"/>
      <c r="C83" s="249"/>
      <c r="D83" s="30"/>
      <c r="E83" s="30"/>
      <c r="F83" s="30"/>
      <c r="G83" s="30"/>
      <c r="H83" s="30"/>
      <c r="I83" s="30"/>
      <c r="J83" s="30"/>
      <c r="K83" s="30"/>
      <c r="L83" s="30"/>
      <c r="M83" s="30"/>
      <c r="N83" s="30"/>
      <c r="R83" s="240"/>
    </row>
    <row r="84">
      <c r="A84" s="30"/>
      <c r="B84" s="249"/>
      <c r="C84" s="249"/>
      <c r="D84" s="30"/>
      <c r="E84" s="30"/>
      <c r="F84" s="30"/>
      <c r="G84" s="30"/>
      <c r="H84" s="30"/>
      <c r="I84" s="30"/>
      <c r="J84" s="30"/>
      <c r="K84" s="30"/>
      <c r="L84" s="30"/>
      <c r="M84" s="30"/>
      <c r="N84" s="30"/>
      <c r="R84" s="240"/>
    </row>
    <row r="85">
      <c r="A85" s="30"/>
      <c r="B85" s="249"/>
      <c r="C85" s="249"/>
      <c r="D85" s="30"/>
      <c r="E85" s="30"/>
      <c r="F85" s="30"/>
      <c r="G85" s="30"/>
      <c r="H85" s="30"/>
      <c r="I85" s="30"/>
      <c r="J85" s="30"/>
      <c r="K85" s="30"/>
      <c r="L85" s="30"/>
      <c r="M85" s="30"/>
      <c r="N85" s="30"/>
      <c r="R85" s="240"/>
    </row>
    <row r="86">
      <c r="A86" s="30"/>
      <c r="B86" s="249"/>
      <c r="C86" s="249"/>
      <c r="D86" s="30"/>
      <c r="E86" s="30"/>
      <c r="F86" s="30"/>
      <c r="G86" s="30"/>
      <c r="H86" s="30"/>
      <c r="I86" s="30"/>
      <c r="J86" s="30"/>
      <c r="K86" s="30"/>
      <c r="L86" s="30"/>
      <c r="M86" s="30"/>
      <c r="N86" s="30"/>
      <c r="R86" s="240"/>
    </row>
    <row r="87">
      <c r="A87" s="30"/>
      <c r="B87" s="249"/>
      <c r="C87" s="249"/>
      <c r="D87" s="30"/>
      <c r="E87" s="30"/>
      <c r="F87" s="30"/>
      <c r="G87" s="30"/>
      <c r="H87" s="30"/>
      <c r="I87" s="30"/>
      <c r="J87" s="30"/>
      <c r="K87" s="30"/>
      <c r="L87" s="30"/>
      <c r="M87" s="30"/>
      <c r="N87" s="30"/>
      <c r="R87" s="240"/>
    </row>
    <row r="88">
      <c r="A88" s="30"/>
      <c r="B88" s="249"/>
      <c r="C88" s="249"/>
      <c r="D88" s="30"/>
      <c r="E88" s="30"/>
      <c r="F88" s="30"/>
      <c r="G88" s="30"/>
      <c r="H88" s="30"/>
      <c r="I88" s="30"/>
      <c r="J88" s="30"/>
      <c r="K88" s="30"/>
      <c r="L88" s="30"/>
      <c r="M88" s="30"/>
      <c r="N88" s="30"/>
      <c r="R88" s="240"/>
    </row>
    <row r="89">
      <c r="A89" s="30"/>
      <c r="B89" s="249"/>
      <c r="C89" s="249"/>
      <c r="D89" s="30"/>
      <c r="E89" s="30"/>
      <c r="F89" s="30"/>
      <c r="G89" s="30"/>
      <c r="H89" s="30"/>
      <c r="I89" s="30"/>
      <c r="J89" s="30"/>
      <c r="K89" s="30"/>
      <c r="L89" s="30"/>
      <c r="M89" s="30"/>
      <c r="N89" s="30"/>
      <c r="R89" s="240"/>
    </row>
    <row r="90">
      <c r="A90" s="30"/>
      <c r="B90" s="249"/>
      <c r="C90" s="249"/>
      <c r="D90" s="30"/>
      <c r="E90" s="30"/>
      <c r="F90" s="30"/>
      <c r="G90" s="30"/>
      <c r="H90" s="30"/>
      <c r="I90" s="30"/>
      <c r="J90" s="30"/>
      <c r="K90" s="30"/>
      <c r="L90" s="30"/>
      <c r="M90" s="30"/>
      <c r="N90" s="30"/>
      <c r="R90" s="240"/>
    </row>
    <row r="91">
      <c r="A91" s="30"/>
      <c r="B91" s="249"/>
      <c r="C91" s="249"/>
      <c r="D91" s="30"/>
      <c r="E91" s="30"/>
      <c r="F91" s="30"/>
      <c r="G91" s="30"/>
      <c r="H91" s="30"/>
      <c r="I91" s="30"/>
      <c r="J91" s="30"/>
      <c r="K91" s="30"/>
      <c r="L91" s="30"/>
      <c r="M91" s="30"/>
      <c r="N91" s="30"/>
      <c r="R91" s="240"/>
    </row>
    <row r="92">
      <c r="A92" s="30"/>
      <c r="B92" s="249"/>
      <c r="C92" s="249"/>
      <c r="D92" s="30"/>
      <c r="E92" s="30"/>
      <c r="F92" s="30"/>
      <c r="G92" s="30"/>
      <c r="H92" s="30"/>
      <c r="I92" s="30"/>
      <c r="J92" s="30"/>
      <c r="K92" s="30"/>
      <c r="L92" s="30"/>
      <c r="M92" s="30"/>
      <c r="N92" s="30"/>
      <c r="R92" s="240"/>
    </row>
    <row r="93">
      <c r="A93" s="30"/>
      <c r="B93" s="249"/>
      <c r="C93" s="249"/>
      <c r="D93" s="30"/>
      <c r="E93" s="30"/>
      <c r="F93" s="30"/>
      <c r="G93" s="30"/>
      <c r="H93" s="30"/>
      <c r="I93" s="30"/>
      <c r="J93" s="30"/>
      <c r="K93" s="30"/>
      <c r="L93" s="30"/>
      <c r="M93" s="30"/>
      <c r="N93" s="30"/>
      <c r="R93" s="240"/>
    </row>
    <row r="94">
      <c r="A94" s="30"/>
      <c r="B94" s="249"/>
      <c r="C94" s="249"/>
      <c r="D94" s="30"/>
      <c r="E94" s="30"/>
      <c r="F94" s="30"/>
      <c r="G94" s="30"/>
      <c r="H94" s="30"/>
      <c r="I94" s="30"/>
      <c r="J94" s="30"/>
      <c r="K94" s="30"/>
      <c r="L94" s="30"/>
      <c r="M94" s="30"/>
      <c r="N94" s="30"/>
      <c r="R94" s="240"/>
    </row>
    <row r="95">
      <c r="A95" s="30"/>
      <c r="B95" s="249"/>
      <c r="C95" s="249"/>
      <c r="D95" s="30"/>
      <c r="E95" s="30"/>
      <c r="F95" s="30"/>
      <c r="G95" s="30"/>
      <c r="H95" s="30"/>
      <c r="I95" s="30"/>
      <c r="J95" s="30"/>
      <c r="K95" s="30"/>
      <c r="L95" s="30"/>
      <c r="M95" s="30"/>
      <c r="N95" s="30"/>
      <c r="R95" s="240"/>
    </row>
    <row r="96">
      <c r="A96" s="30"/>
      <c r="B96" s="249"/>
      <c r="C96" s="249"/>
      <c r="D96" s="30"/>
      <c r="E96" s="30"/>
      <c r="F96" s="30"/>
      <c r="G96" s="30"/>
      <c r="H96" s="30"/>
      <c r="I96" s="30"/>
      <c r="J96" s="30"/>
      <c r="K96" s="30"/>
      <c r="L96" s="30"/>
      <c r="M96" s="30"/>
      <c r="N96" s="30"/>
      <c r="R96" s="240"/>
    </row>
    <row r="97">
      <c r="A97" s="30"/>
      <c r="B97" s="249"/>
      <c r="C97" s="249"/>
      <c r="D97" s="30"/>
      <c r="E97" s="30"/>
      <c r="F97" s="30"/>
      <c r="G97" s="30"/>
      <c r="H97" s="30"/>
      <c r="I97" s="30"/>
      <c r="J97" s="30"/>
      <c r="K97" s="30"/>
      <c r="L97" s="30"/>
      <c r="M97" s="30"/>
      <c r="N97" s="30"/>
      <c r="R97" s="240"/>
    </row>
    <row r="98">
      <c r="A98" s="30"/>
      <c r="B98" s="249"/>
      <c r="C98" s="249"/>
      <c r="D98" s="30"/>
      <c r="E98" s="30"/>
      <c r="F98" s="30"/>
      <c r="G98" s="30"/>
      <c r="H98" s="30"/>
      <c r="I98" s="30"/>
      <c r="J98" s="30"/>
      <c r="K98" s="30"/>
      <c r="L98" s="30"/>
      <c r="M98" s="30"/>
      <c r="N98" s="30"/>
      <c r="R98" s="240"/>
    </row>
    <row r="99">
      <c r="A99" s="30"/>
      <c r="B99" s="249"/>
      <c r="C99" s="249"/>
      <c r="D99" s="30"/>
      <c r="E99" s="30"/>
      <c r="F99" s="30"/>
      <c r="G99" s="30"/>
      <c r="H99" s="30"/>
      <c r="I99" s="30"/>
      <c r="J99" s="30"/>
      <c r="K99" s="30"/>
      <c r="L99" s="30"/>
      <c r="M99" s="30"/>
      <c r="N99" s="30"/>
      <c r="R99" s="240"/>
    </row>
    <row r="100">
      <c r="A100" s="30"/>
      <c r="B100" s="249"/>
      <c r="C100" s="249"/>
      <c r="D100" s="30"/>
      <c r="E100" s="30"/>
      <c r="F100" s="30"/>
      <c r="G100" s="30"/>
      <c r="H100" s="30"/>
      <c r="I100" s="30"/>
      <c r="J100" s="30"/>
      <c r="K100" s="30"/>
      <c r="L100" s="30"/>
      <c r="M100" s="30"/>
      <c r="N100" s="30"/>
      <c r="R100" s="240"/>
    </row>
    <row r="101">
      <c r="A101" s="30"/>
      <c r="B101" s="249"/>
      <c r="C101" s="249"/>
      <c r="D101" s="30"/>
      <c r="E101" s="30"/>
      <c r="F101" s="30"/>
      <c r="G101" s="30"/>
      <c r="H101" s="30"/>
      <c r="I101" s="30"/>
      <c r="J101" s="30"/>
      <c r="K101" s="30"/>
      <c r="L101" s="30"/>
      <c r="M101" s="30"/>
      <c r="N101" s="30"/>
      <c r="R101" s="240"/>
    </row>
    <row r="102">
      <c r="A102" s="30"/>
      <c r="B102" s="249"/>
      <c r="C102" s="249"/>
      <c r="D102" s="30"/>
      <c r="E102" s="30"/>
      <c r="F102" s="30"/>
      <c r="G102" s="30"/>
      <c r="H102" s="30"/>
      <c r="I102" s="30"/>
      <c r="J102" s="30"/>
      <c r="K102" s="30"/>
      <c r="L102" s="30"/>
      <c r="M102" s="30"/>
      <c r="N102" s="30"/>
      <c r="R102" s="240"/>
    </row>
    <row r="103">
      <c r="A103" s="30"/>
      <c r="B103" s="249"/>
      <c r="C103" s="249"/>
      <c r="D103" s="30"/>
      <c r="E103" s="30"/>
      <c r="F103" s="30"/>
      <c r="G103" s="30"/>
      <c r="H103" s="30"/>
      <c r="I103" s="30"/>
      <c r="J103" s="30"/>
      <c r="K103" s="30"/>
      <c r="L103" s="30"/>
      <c r="M103" s="30"/>
      <c r="N103" s="30"/>
      <c r="R103" s="240"/>
    </row>
    <row r="104">
      <c r="A104" s="30"/>
      <c r="B104" s="249"/>
      <c r="C104" s="249"/>
      <c r="D104" s="30"/>
      <c r="E104" s="30"/>
      <c r="F104" s="30"/>
      <c r="G104" s="30"/>
      <c r="H104" s="30"/>
      <c r="I104" s="30"/>
      <c r="J104" s="30"/>
      <c r="K104" s="30"/>
      <c r="L104" s="30"/>
      <c r="M104" s="30"/>
      <c r="N104" s="30"/>
      <c r="R104" s="240"/>
    </row>
    <row r="105">
      <c r="A105" s="30"/>
      <c r="B105" s="249"/>
      <c r="C105" s="249"/>
      <c r="D105" s="30"/>
      <c r="E105" s="30"/>
      <c r="F105" s="30"/>
      <c r="G105" s="30"/>
      <c r="H105" s="30"/>
      <c r="I105" s="30"/>
      <c r="J105" s="30"/>
      <c r="K105" s="30"/>
      <c r="L105" s="30"/>
      <c r="M105" s="30"/>
      <c r="N105" s="30"/>
      <c r="R105" s="240"/>
    </row>
    <row r="106">
      <c r="A106" s="30"/>
      <c r="B106" s="249"/>
      <c r="C106" s="249"/>
      <c r="D106" s="30"/>
      <c r="E106" s="30"/>
      <c r="F106" s="30"/>
      <c r="G106" s="30"/>
      <c r="H106" s="30"/>
      <c r="I106" s="30"/>
      <c r="J106" s="30"/>
      <c r="K106" s="30"/>
      <c r="L106" s="30"/>
      <c r="M106" s="30"/>
      <c r="N106" s="30"/>
      <c r="R106" s="240"/>
    </row>
    <row r="107">
      <c r="A107" s="30"/>
      <c r="B107" s="249"/>
      <c r="C107" s="249"/>
      <c r="D107" s="30"/>
      <c r="E107" s="30"/>
      <c r="F107" s="30"/>
      <c r="G107" s="30"/>
      <c r="H107" s="30"/>
      <c r="I107" s="30"/>
      <c r="J107" s="30"/>
      <c r="K107" s="30"/>
      <c r="L107" s="30"/>
      <c r="M107" s="30"/>
      <c r="N107" s="30"/>
      <c r="R107" s="240"/>
    </row>
    <row r="108">
      <c r="A108" s="30"/>
      <c r="B108" s="249"/>
      <c r="C108" s="249"/>
      <c r="D108" s="30"/>
      <c r="E108" s="30"/>
      <c r="F108" s="30"/>
      <c r="G108" s="30"/>
      <c r="H108" s="30"/>
      <c r="I108" s="30"/>
      <c r="J108" s="30"/>
      <c r="K108" s="30"/>
      <c r="L108" s="30"/>
      <c r="M108" s="30"/>
      <c r="N108" s="30"/>
      <c r="R108" s="240"/>
    </row>
    <row r="109">
      <c r="A109" s="30"/>
      <c r="B109" s="249"/>
      <c r="C109" s="249"/>
      <c r="D109" s="30"/>
      <c r="E109" s="30"/>
      <c r="F109" s="30"/>
      <c r="G109" s="30"/>
      <c r="H109" s="30"/>
      <c r="I109" s="30"/>
      <c r="J109" s="30"/>
      <c r="K109" s="30"/>
      <c r="L109" s="30"/>
      <c r="M109" s="30"/>
      <c r="N109" s="30"/>
      <c r="R109" s="240"/>
    </row>
    <row r="110">
      <c r="A110" s="30"/>
      <c r="B110" s="249"/>
      <c r="C110" s="249"/>
      <c r="D110" s="30"/>
      <c r="E110" s="30"/>
      <c r="F110" s="30"/>
      <c r="G110" s="30"/>
      <c r="H110" s="30"/>
      <c r="I110" s="30"/>
      <c r="J110" s="30"/>
      <c r="K110" s="30"/>
      <c r="L110" s="30"/>
      <c r="M110" s="30"/>
      <c r="N110" s="30"/>
      <c r="R110" s="240"/>
    </row>
    <row r="111">
      <c r="A111" s="30"/>
      <c r="B111" s="249"/>
      <c r="C111" s="249"/>
      <c r="D111" s="30"/>
      <c r="E111" s="30"/>
      <c r="F111" s="30"/>
      <c r="G111" s="30"/>
      <c r="H111" s="30"/>
      <c r="I111" s="30"/>
      <c r="J111" s="30"/>
      <c r="K111" s="30"/>
      <c r="L111" s="30"/>
      <c r="M111" s="30"/>
      <c r="N111" s="30"/>
      <c r="R111" s="240"/>
    </row>
    <row r="112">
      <c r="A112" s="30"/>
      <c r="B112" s="249"/>
      <c r="C112" s="249"/>
      <c r="D112" s="30"/>
      <c r="E112" s="30"/>
      <c r="F112" s="30"/>
      <c r="G112" s="30"/>
      <c r="H112" s="30"/>
      <c r="I112" s="30"/>
      <c r="J112" s="30"/>
      <c r="K112" s="30"/>
      <c r="L112" s="30"/>
      <c r="M112" s="30"/>
      <c r="N112" s="30"/>
      <c r="R112" s="240"/>
    </row>
    <row r="113">
      <c r="A113" s="30"/>
      <c r="B113" s="249"/>
      <c r="C113" s="249"/>
      <c r="D113" s="30"/>
      <c r="E113" s="30"/>
      <c r="F113" s="30"/>
      <c r="G113" s="30"/>
      <c r="H113" s="30"/>
      <c r="I113" s="30"/>
      <c r="J113" s="30"/>
      <c r="K113" s="30"/>
      <c r="L113" s="30"/>
      <c r="M113" s="30"/>
      <c r="N113" s="30"/>
      <c r="R113" s="240"/>
    </row>
    <row r="114">
      <c r="A114" s="30"/>
      <c r="B114" s="249"/>
      <c r="C114" s="249"/>
      <c r="D114" s="30"/>
      <c r="E114" s="30"/>
      <c r="F114" s="30"/>
      <c r="G114" s="30"/>
      <c r="H114" s="30"/>
      <c r="I114" s="30"/>
      <c r="J114" s="30"/>
      <c r="K114" s="30"/>
      <c r="L114" s="30"/>
      <c r="M114" s="30"/>
      <c r="N114" s="30"/>
      <c r="R114" s="240"/>
    </row>
    <row r="115">
      <c r="A115" s="30"/>
      <c r="B115" s="249"/>
      <c r="C115" s="249"/>
      <c r="D115" s="30"/>
      <c r="E115" s="30"/>
      <c r="F115" s="30"/>
      <c r="G115" s="30"/>
      <c r="H115" s="30"/>
      <c r="I115" s="30"/>
      <c r="J115" s="30"/>
      <c r="K115" s="30"/>
      <c r="L115" s="30"/>
      <c r="M115" s="30"/>
      <c r="N115" s="30"/>
      <c r="R115" s="240"/>
    </row>
    <row r="116">
      <c r="A116" s="30"/>
      <c r="B116" s="249"/>
      <c r="C116" s="249"/>
      <c r="D116" s="30"/>
      <c r="E116" s="30"/>
      <c r="F116" s="30"/>
      <c r="G116" s="30"/>
      <c r="H116" s="30"/>
      <c r="I116" s="30"/>
      <c r="J116" s="30"/>
      <c r="K116" s="30"/>
      <c r="L116" s="30"/>
      <c r="M116" s="30"/>
      <c r="N116" s="30"/>
      <c r="R116" s="240"/>
    </row>
    <row r="117">
      <c r="A117" s="30"/>
      <c r="B117" s="249"/>
      <c r="C117" s="249"/>
      <c r="D117" s="30"/>
      <c r="E117" s="30"/>
      <c r="F117" s="30"/>
      <c r="G117" s="30"/>
      <c r="H117" s="30"/>
      <c r="I117" s="30"/>
      <c r="J117" s="30"/>
      <c r="K117" s="30"/>
      <c r="L117" s="30"/>
      <c r="M117" s="30"/>
      <c r="N117" s="30"/>
      <c r="R117" s="240"/>
    </row>
    <row r="118">
      <c r="A118" s="30"/>
      <c r="B118" s="249"/>
      <c r="C118" s="249"/>
      <c r="D118" s="30"/>
      <c r="E118" s="30"/>
      <c r="F118" s="30"/>
      <c r="G118" s="30"/>
      <c r="H118" s="30"/>
      <c r="I118" s="30"/>
      <c r="J118" s="30"/>
      <c r="K118" s="30"/>
      <c r="L118" s="30"/>
      <c r="M118" s="30"/>
      <c r="N118" s="30"/>
      <c r="R118" s="240"/>
    </row>
    <row r="119">
      <c r="A119" s="30"/>
      <c r="B119" s="249"/>
      <c r="C119" s="249"/>
      <c r="D119" s="30"/>
      <c r="E119" s="30"/>
      <c r="F119" s="30"/>
      <c r="G119" s="30"/>
      <c r="H119" s="30"/>
      <c r="I119" s="30"/>
      <c r="J119" s="30"/>
      <c r="K119" s="30"/>
      <c r="L119" s="30"/>
      <c r="M119" s="30"/>
      <c r="N119" s="30"/>
      <c r="R119" s="240"/>
    </row>
    <row r="120">
      <c r="A120" s="30"/>
      <c r="B120" s="249"/>
      <c r="C120" s="249"/>
      <c r="D120" s="30"/>
      <c r="E120" s="30"/>
      <c r="F120" s="30"/>
      <c r="G120" s="30"/>
      <c r="H120" s="30"/>
      <c r="I120" s="30"/>
      <c r="J120" s="30"/>
      <c r="K120" s="30"/>
      <c r="L120" s="30"/>
      <c r="M120" s="30"/>
      <c r="N120" s="30"/>
      <c r="R120" s="240"/>
    </row>
    <row r="121">
      <c r="A121" s="30"/>
      <c r="B121" s="249"/>
      <c r="C121" s="249"/>
      <c r="D121" s="30"/>
      <c r="E121" s="30"/>
      <c r="F121" s="30"/>
      <c r="G121" s="30"/>
      <c r="H121" s="30"/>
      <c r="I121" s="30"/>
      <c r="J121" s="30"/>
      <c r="K121" s="30"/>
      <c r="L121" s="30"/>
      <c r="M121" s="30"/>
      <c r="N121" s="30"/>
      <c r="R121" s="240"/>
    </row>
    <row r="122">
      <c r="A122" s="30"/>
      <c r="B122" s="249"/>
      <c r="C122" s="249"/>
      <c r="D122" s="30"/>
      <c r="E122" s="30"/>
      <c r="F122" s="30"/>
      <c r="G122" s="30"/>
      <c r="H122" s="30"/>
      <c r="I122" s="30"/>
      <c r="J122" s="30"/>
      <c r="K122" s="30"/>
      <c r="L122" s="30"/>
      <c r="M122" s="30"/>
      <c r="N122" s="30"/>
      <c r="R122" s="240"/>
    </row>
    <row r="123">
      <c r="A123" s="30"/>
      <c r="B123" s="249"/>
      <c r="C123" s="249"/>
      <c r="D123" s="30"/>
      <c r="E123" s="30"/>
      <c r="F123" s="30"/>
      <c r="G123" s="30"/>
      <c r="H123" s="30"/>
      <c r="I123" s="30"/>
      <c r="J123" s="30"/>
      <c r="K123" s="30"/>
      <c r="L123" s="30"/>
      <c r="M123" s="30"/>
      <c r="N123" s="30"/>
      <c r="R123" s="240"/>
    </row>
    <row r="124">
      <c r="A124" s="30"/>
      <c r="B124" s="249"/>
      <c r="C124" s="249"/>
      <c r="D124" s="30"/>
      <c r="E124" s="30"/>
      <c r="F124" s="30"/>
      <c r="G124" s="30"/>
      <c r="H124" s="30"/>
      <c r="I124" s="30"/>
      <c r="J124" s="30"/>
      <c r="K124" s="30"/>
      <c r="L124" s="30"/>
      <c r="M124" s="30"/>
      <c r="N124" s="30"/>
      <c r="R124" s="240"/>
    </row>
    <row r="125">
      <c r="A125" s="30"/>
      <c r="B125" s="249"/>
      <c r="C125" s="249"/>
      <c r="D125" s="30"/>
      <c r="E125" s="30"/>
      <c r="F125" s="30"/>
      <c r="G125" s="30"/>
      <c r="H125" s="30"/>
      <c r="I125" s="30"/>
      <c r="J125" s="30"/>
      <c r="K125" s="30"/>
      <c r="L125" s="30"/>
      <c r="M125" s="30"/>
      <c r="N125" s="30"/>
      <c r="R125" s="240"/>
    </row>
    <row r="126">
      <c r="A126" s="30"/>
      <c r="B126" s="249"/>
      <c r="C126" s="249"/>
      <c r="D126" s="30"/>
      <c r="E126" s="30"/>
      <c r="F126" s="30"/>
      <c r="G126" s="30"/>
      <c r="H126" s="30"/>
      <c r="I126" s="30"/>
      <c r="J126" s="30"/>
      <c r="K126" s="30"/>
      <c r="L126" s="30"/>
      <c r="M126" s="30"/>
      <c r="N126" s="30"/>
      <c r="R126" s="240"/>
    </row>
    <row r="127">
      <c r="A127" s="30"/>
      <c r="B127" s="249"/>
      <c r="C127" s="249"/>
      <c r="D127" s="30"/>
      <c r="E127" s="30"/>
      <c r="F127" s="30"/>
      <c r="G127" s="30"/>
      <c r="H127" s="30"/>
      <c r="I127" s="30"/>
      <c r="J127" s="30"/>
      <c r="K127" s="30"/>
      <c r="L127" s="30"/>
      <c r="M127" s="30"/>
      <c r="N127" s="30"/>
      <c r="R127" s="240"/>
    </row>
    <row r="128">
      <c r="A128" s="30"/>
      <c r="B128" s="249"/>
      <c r="C128" s="249"/>
      <c r="D128" s="30"/>
      <c r="E128" s="30"/>
      <c r="F128" s="30"/>
      <c r="G128" s="30"/>
      <c r="H128" s="30"/>
      <c r="I128" s="30"/>
      <c r="J128" s="30"/>
      <c r="K128" s="30"/>
      <c r="L128" s="30"/>
      <c r="M128" s="30"/>
      <c r="N128" s="30"/>
      <c r="R128" s="240"/>
    </row>
    <row r="129">
      <c r="A129" s="30"/>
      <c r="B129" s="249"/>
      <c r="C129" s="249"/>
      <c r="D129" s="30"/>
      <c r="E129" s="30"/>
      <c r="F129" s="30"/>
      <c r="G129" s="30"/>
      <c r="H129" s="30"/>
      <c r="I129" s="30"/>
      <c r="J129" s="30"/>
      <c r="K129" s="30"/>
      <c r="L129" s="30"/>
      <c r="M129" s="30"/>
      <c r="N129" s="30"/>
      <c r="R129" s="240"/>
    </row>
    <row r="130">
      <c r="A130" s="30"/>
      <c r="B130" s="249"/>
      <c r="C130" s="249"/>
      <c r="D130" s="30"/>
      <c r="E130" s="30"/>
      <c r="F130" s="30"/>
      <c r="G130" s="30"/>
      <c r="H130" s="30"/>
      <c r="I130" s="30"/>
      <c r="J130" s="30"/>
      <c r="K130" s="30"/>
      <c r="L130" s="30"/>
      <c r="M130" s="30"/>
      <c r="N130" s="30"/>
      <c r="R130" s="240"/>
    </row>
    <row r="131">
      <c r="A131" s="30"/>
      <c r="B131" s="249"/>
      <c r="C131" s="249"/>
      <c r="D131" s="30"/>
      <c r="E131" s="30"/>
      <c r="F131" s="30"/>
      <c r="G131" s="30"/>
      <c r="H131" s="30"/>
      <c r="I131" s="30"/>
      <c r="J131" s="30"/>
      <c r="K131" s="30"/>
      <c r="L131" s="30"/>
      <c r="M131" s="30"/>
      <c r="N131" s="30"/>
      <c r="R131" s="240"/>
    </row>
    <row r="132">
      <c r="A132" s="30"/>
      <c r="B132" s="249"/>
      <c r="C132" s="249"/>
      <c r="D132" s="30"/>
      <c r="E132" s="30"/>
      <c r="F132" s="30"/>
      <c r="G132" s="30"/>
      <c r="H132" s="30"/>
      <c r="I132" s="30"/>
      <c r="J132" s="30"/>
      <c r="K132" s="30"/>
      <c r="L132" s="30"/>
      <c r="M132" s="30"/>
      <c r="N132" s="30"/>
      <c r="R132" s="240"/>
    </row>
    <row r="133">
      <c r="A133" s="30"/>
      <c r="B133" s="249"/>
      <c r="C133" s="249"/>
      <c r="D133" s="30"/>
      <c r="E133" s="30"/>
      <c r="F133" s="30"/>
      <c r="G133" s="30"/>
      <c r="H133" s="30"/>
      <c r="I133" s="30"/>
      <c r="J133" s="30"/>
      <c r="K133" s="30"/>
      <c r="L133" s="30"/>
      <c r="M133" s="30"/>
      <c r="N133" s="30"/>
      <c r="R133" s="240"/>
    </row>
    <row r="134">
      <c r="A134" s="30"/>
      <c r="B134" s="249"/>
      <c r="C134" s="249"/>
      <c r="D134" s="30"/>
      <c r="E134" s="30"/>
      <c r="F134" s="30"/>
      <c r="G134" s="30"/>
      <c r="H134" s="30"/>
      <c r="I134" s="30"/>
      <c r="J134" s="30"/>
      <c r="K134" s="30"/>
      <c r="L134" s="30"/>
      <c r="M134" s="30"/>
      <c r="N134" s="30"/>
      <c r="R134" s="240"/>
    </row>
    <row r="135">
      <c r="A135" s="30"/>
      <c r="B135" s="249"/>
      <c r="C135" s="249"/>
      <c r="D135" s="30"/>
      <c r="E135" s="30"/>
      <c r="F135" s="30"/>
      <c r="G135" s="30"/>
      <c r="H135" s="30"/>
      <c r="I135" s="30"/>
      <c r="J135" s="30"/>
      <c r="K135" s="30"/>
      <c r="L135" s="30"/>
      <c r="M135" s="30"/>
      <c r="N135" s="30"/>
      <c r="R135" s="240"/>
    </row>
    <row r="136">
      <c r="A136" s="30"/>
      <c r="B136" s="249"/>
      <c r="C136" s="249"/>
      <c r="D136" s="30"/>
      <c r="E136" s="30"/>
      <c r="F136" s="30"/>
      <c r="G136" s="30"/>
      <c r="H136" s="30"/>
      <c r="I136" s="30"/>
      <c r="J136" s="30"/>
      <c r="K136" s="30"/>
      <c r="L136" s="30"/>
      <c r="M136" s="30"/>
      <c r="N136" s="30"/>
      <c r="R136" s="240"/>
    </row>
    <row r="137">
      <c r="A137" s="30"/>
      <c r="B137" s="249"/>
      <c r="C137" s="249"/>
      <c r="D137" s="30"/>
      <c r="E137" s="30"/>
      <c r="F137" s="30"/>
      <c r="G137" s="30"/>
      <c r="H137" s="30"/>
      <c r="I137" s="30"/>
      <c r="J137" s="30"/>
      <c r="K137" s="30"/>
      <c r="L137" s="30"/>
      <c r="M137" s="30"/>
      <c r="N137" s="30"/>
      <c r="R137" s="240"/>
    </row>
    <row r="138">
      <c r="A138" s="30"/>
      <c r="B138" s="249"/>
      <c r="C138" s="249"/>
      <c r="D138" s="30"/>
      <c r="E138" s="30"/>
      <c r="F138" s="30"/>
      <c r="G138" s="30"/>
      <c r="H138" s="30"/>
      <c r="I138" s="30"/>
      <c r="J138" s="30"/>
      <c r="K138" s="30"/>
      <c r="L138" s="30"/>
      <c r="M138" s="30"/>
      <c r="N138" s="30"/>
      <c r="R138" s="240"/>
    </row>
    <row r="139">
      <c r="A139" s="30"/>
      <c r="B139" s="249"/>
      <c r="C139" s="249"/>
      <c r="D139" s="30"/>
      <c r="E139" s="30"/>
      <c r="F139" s="30"/>
      <c r="G139" s="30"/>
      <c r="H139" s="30"/>
      <c r="I139" s="30"/>
      <c r="J139" s="30"/>
      <c r="K139" s="30"/>
      <c r="L139" s="30"/>
      <c r="M139" s="30"/>
      <c r="N139" s="30"/>
      <c r="R139" s="240"/>
    </row>
    <row r="140">
      <c r="A140" s="30"/>
      <c r="B140" s="249"/>
      <c r="C140" s="249"/>
      <c r="D140" s="30"/>
      <c r="E140" s="30"/>
      <c r="F140" s="30"/>
      <c r="G140" s="30"/>
      <c r="H140" s="30"/>
      <c r="I140" s="30"/>
      <c r="J140" s="30"/>
      <c r="K140" s="30"/>
      <c r="L140" s="30"/>
      <c r="M140" s="30"/>
      <c r="N140" s="30"/>
      <c r="R140" s="240"/>
    </row>
    <row r="141">
      <c r="A141" s="30"/>
      <c r="B141" s="249"/>
      <c r="C141" s="249"/>
      <c r="D141" s="30"/>
      <c r="E141" s="30"/>
      <c r="F141" s="30"/>
      <c r="G141" s="30"/>
      <c r="H141" s="30"/>
      <c r="I141" s="30"/>
      <c r="J141" s="30"/>
      <c r="K141" s="30"/>
      <c r="L141" s="30"/>
      <c r="M141" s="30"/>
      <c r="N141" s="30"/>
      <c r="R141" s="240"/>
    </row>
    <row r="142">
      <c r="A142" s="30"/>
      <c r="B142" s="249"/>
      <c r="C142" s="249"/>
      <c r="D142" s="30"/>
      <c r="E142" s="30"/>
      <c r="F142" s="30"/>
      <c r="G142" s="30"/>
      <c r="H142" s="30"/>
      <c r="I142" s="30"/>
      <c r="J142" s="30"/>
      <c r="K142" s="30"/>
      <c r="L142" s="30"/>
      <c r="M142" s="30"/>
      <c r="N142" s="30"/>
      <c r="R142" s="240"/>
    </row>
    <row r="143">
      <c r="A143" s="30"/>
      <c r="B143" s="249"/>
      <c r="C143" s="249"/>
      <c r="D143" s="30"/>
      <c r="E143" s="30"/>
      <c r="F143" s="30"/>
      <c r="G143" s="30"/>
      <c r="H143" s="30"/>
      <c r="I143" s="30"/>
      <c r="J143" s="30"/>
      <c r="K143" s="30"/>
      <c r="L143" s="30"/>
      <c r="M143" s="30"/>
      <c r="N143" s="30"/>
      <c r="R143" s="240"/>
    </row>
    <row r="144">
      <c r="A144" s="30"/>
      <c r="B144" s="249"/>
      <c r="C144" s="249"/>
      <c r="D144" s="30"/>
      <c r="E144" s="30"/>
      <c r="F144" s="30"/>
      <c r="G144" s="30"/>
      <c r="H144" s="30"/>
      <c r="I144" s="30"/>
      <c r="J144" s="30"/>
      <c r="K144" s="30"/>
      <c r="L144" s="30"/>
      <c r="M144" s="30"/>
      <c r="N144" s="30"/>
      <c r="R144" s="240"/>
    </row>
    <row r="145">
      <c r="A145" s="30"/>
      <c r="B145" s="249"/>
      <c r="C145" s="249"/>
      <c r="D145" s="30"/>
      <c r="E145" s="30"/>
      <c r="F145" s="30"/>
      <c r="G145" s="30"/>
      <c r="H145" s="30"/>
      <c r="I145" s="30"/>
      <c r="J145" s="30"/>
      <c r="K145" s="30"/>
      <c r="L145" s="30"/>
      <c r="M145" s="30"/>
      <c r="N145" s="30"/>
      <c r="R145" s="240"/>
    </row>
    <row r="146">
      <c r="A146" s="30"/>
      <c r="B146" s="249"/>
      <c r="C146" s="249"/>
      <c r="D146" s="30"/>
      <c r="E146" s="30"/>
      <c r="F146" s="30"/>
      <c r="G146" s="30"/>
      <c r="H146" s="30"/>
      <c r="I146" s="30"/>
      <c r="J146" s="30"/>
      <c r="K146" s="30"/>
      <c r="L146" s="30"/>
      <c r="M146" s="30"/>
      <c r="N146" s="30"/>
      <c r="R146" s="240"/>
    </row>
    <row r="147">
      <c r="A147" s="30"/>
      <c r="B147" s="249"/>
      <c r="C147" s="249"/>
      <c r="D147" s="30"/>
      <c r="E147" s="30"/>
      <c r="F147" s="30"/>
      <c r="G147" s="30"/>
      <c r="H147" s="30"/>
      <c r="I147" s="30"/>
      <c r="J147" s="30"/>
      <c r="K147" s="30"/>
      <c r="L147" s="30"/>
      <c r="M147" s="30"/>
      <c r="N147" s="30"/>
      <c r="R147" s="240"/>
    </row>
    <row r="148">
      <c r="A148" s="30"/>
      <c r="B148" s="249"/>
      <c r="C148" s="249"/>
      <c r="D148" s="30"/>
      <c r="E148" s="30"/>
      <c r="F148" s="30"/>
      <c r="G148" s="30"/>
      <c r="H148" s="30"/>
      <c r="I148" s="30"/>
      <c r="J148" s="30"/>
      <c r="K148" s="30"/>
      <c r="L148" s="30"/>
      <c r="M148" s="30"/>
      <c r="N148" s="30"/>
      <c r="R148" s="240"/>
    </row>
    <row r="149">
      <c r="A149" s="30"/>
      <c r="B149" s="249"/>
      <c r="C149" s="249"/>
      <c r="D149" s="30"/>
      <c r="E149" s="30"/>
      <c r="F149" s="30"/>
      <c r="G149" s="30"/>
      <c r="H149" s="30"/>
      <c r="I149" s="30"/>
      <c r="J149" s="30"/>
      <c r="K149" s="30"/>
      <c r="L149" s="30"/>
      <c r="M149" s="30"/>
      <c r="N149" s="30"/>
      <c r="R149" s="240"/>
    </row>
    <row r="150">
      <c r="A150" s="30"/>
      <c r="B150" s="249"/>
      <c r="C150" s="249"/>
      <c r="D150" s="30"/>
      <c r="E150" s="30"/>
      <c r="F150" s="30"/>
      <c r="G150" s="30"/>
      <c r="H150" s="30"/>
      <c r="I150" s="30"/>
      <c r="J150" s="30"/>
      <c r="K150" s="30"/>
      <c r="L150" s="30"/>
      <c r="M150" s="30"/>
      <c r="N150" s="30"/>
      <c r="R150" s="240"/>
    </row>
    <row r="151">
      <c r="A151" s="30"/>
      <c r="B151" s="249"/>
      <c r="C151" s="249"/>
      <c r="D151" s="30"/>
      <c r="E151" s="30"/>
      <c r="F151" s="30"/>
      <c r="G151" s="30"/>
      <c r="H151" s="30"/>
      <c r="I151" s="30"/>
      <c r="J151" s="30"/>
      <c r="K151" s="30"/>
      <c r="L151" s="30"/>
      <c r="M151" s="30"/>
      <c r="N151" s="30"/>
      <c r="R151" s="240"/>
    </row>
    <row r="152">
      <c r="A152" s="30"/>
      <c r="B152" s="249"/>
      <c r="C152" s="249"/>
      <c r="D152" s="30"/>
      <c r="E152" s="30"/>
      <c r="F152" s="30"/>
      <c r="G152" s="30"/>
      <c r="H152" s="30"/>
      <c r="I152" s="30"/>
      <c r="J152" s="30"/>
      <c r="K152" s="30"/>
      <c r="L152" s="30"/>
      <c r="M152" s="30"/>
      <c r="N152" s="30"/>
      <c r="R152" s="240"/>
    </row>
    <row r="153">
      <c r="A153" s="30"/>
      <c r="B153" s="249"/>
      <c r="C153" s="249"/>
      <c r="D153" s="30"/>
      <c r="E153" s="30"/>
      <c r="F153" s="30"/>
      <c r="G153" s="30"/>
      <c r="H153" s="30"/>
      <c r="I153" s="30"/>
      <c r="J153" s="30"/>
      <c r="K153" s="30"/>
      <c r="L153" s="30"/>
      <c r="M153" s="30"/>
      <c r="N153" s="30"/>
      <c r="R153" s="240"/>
    </row>
    <row r="154">
      <c r="A154" s="30"/>
      <c r="B154" s="249"/>
      <c r="C154" s="249"/>
      <c r="D154" s="30"/>
      <c r="E154" s="30"/>
      <c r="F154" s="30"/>
      <c r="G154" s="30"/>
      <c r="H154" s="30"/>
      <c r="I154" s="30"/>
      <c r="J154" s="30"/>
      <c r="K154" s="30"/>
      <c r="L154" s="30"/>
      <c r="M154" s="30"/>
      <c r="N154" s="30"/>
      <c r="R154" s="240"/>
    </row>
    <row r="155">
      <c r="A155" s="30"/>
      <c r="B155" s="249"/>
      <c r="C155" s="249"/>
      <c r="D155" s="30"/>
      <c r="E155" s="30"/>
      <c r="F155" s="30"/>
      <c r="G155" s="30"/>
      <c r="H155" s="30"/>
      <c r="I155" s="30"/>
      <c r="J155" s="30"/>
      <c r="K155" s="30"/>
      <c r="L155" s="30"/>
      <c r="M155" s="30"/>
      <c r="N155" s="30"/>
      <c r="R155" s="240"/>
    </row>
    <row r="156">
      <c r="A156" s="30"/>
      <c r="B156" s="249"/>
      <c r="C156" s="249"/>
      <c r="D156" s="30"/>
      <c r="E156" s="30"/>
      <c r="F156" s="30"/>
      <c r="G156" s="30"/>
      <c r="H156" s="30"/>
      <c r="I156" s="30"/>
      <c r="J156" s="30"/>
      <c r="K156" s="30"/>
      <c r="L156" s="30"/>
      <c r="M156" s="30"/>
      <c r="N156" s="30"/>
      <c r="R156" s="240"/>
    </row>
    <row r="157">
      <c r="A157" s="30"/>
      <c r="B157" s="249"/>
      <c r="C157" s="249"/>
      <c r="D157" s="30"/>
      <c r="E157" s="30"/>
      <c r="F157" s="30"/>
      <c r="G157" s="30"/>
      <c r="H157" s="30"/>
      <c r="I157" s="30"/>
      <c r="J157" s="30"/>
      <c r="K157" s="30"/>
      <c r="L157" s="30"/>
      <c r="M157" s="30"/>
      <c r="N157" s="30"/>
      <c r="R157" s="240"/>
    </row>
    <row r="158">
      <c r="A158" s="30"/>
      <c r="B158" s="249"/>
      <c r="C158" s="249"/>
      <c r="D158" s="30"/>
      <c r="E158" s="30"/>
      <c r="F158" s="30"/>
      <c r="G158" s="30"/>
      <c r="H158" s="30"/>
      <c r="I158" s="30"/>
      <c r="J158" s="30"/>
      <c r="K158" s="30"/>
      <c r="L158" s="30"/>
      <c r="M158" s="30"/>
      <c r="N158" s="30"/>
      <c r="R158" s="240"/>
    </row>
    <row r="159">
      <c r="A159" s="30"/>
      <c r="B159" s="249"/>
      <c r="C159" s="249"/>
      <c r="D159" s="30"/>
      <c r="E159" s="30"/>
      <c r="F159" s="30"/>
      <c r="G159" s="30"/>
      <c r="H159" s="30"/>
      <c r="I159" s="30"/>
      <c r="J159" s="30"/>
      <c r="K159" s="30"/>
      <c r="L159" s="30"/>
      <c r="M159" s="30"/>
      <c r="N159" s="30"/>
      <c r="R159" s="240"/>
    </row>
    <row r="160">
      <c r="A160" s="30"/>
      <c r="B160" s="249"/>
      <c r="C160" s="249"/>
      <c r="D160" s="30"/>
      <c r="E160" s="30"/>
      <c r="F160" s="30"/>
      <c r="G160" s="30"/>
      <c r="H160" s="30"/>
      <c r="I160" s="30"/>
      <c r="J160" s="30"/>
      <c r="K160" s="30"/>
      <c r="L160" s="30"/>
      <c r="M160" s="30"/>
      <c r="N160" s="30"/>
      <c r="R160" s="240"/>
    </row>
    <row r="161">
      <c r="A161" s="30"/>
      <c r="B161" s="249"/>
      <c r="C161" s="249"/>
      <c r="D161" s="30"/>
      <c r="E161" s="30"/>
      <c r="F161" s="30"/>
      <c r="G161" s="30"/>
      <c r="H161" s="30"/>
      <c r="I161" s="30"/>
      <c r="J161" s="30"/>
      <c r="K161" s="30"/>
      <c r="L161" s="30"/>
      <c r="M161" s="30"/>
      <c r="N161" s="30"/>
      <c r="R161" s="240"/>
    </row>
    <row r="162">
      <c r="A162" s="30"/>
      <c r="B162" s="249"/>
      <c r="C162" s="249"/>
      <c r="D162" s="30"/>
      <c r="E162" s="30"/>
      <c r="F162" s="30"/>
      <c r="G162" s="30"/>
      <c r="H162" s="30"/>
      <c r="I162" s="30"/>
      <c r="J162" s="30"/>
      <c r="K162" s="30"/>
      <c r="L162" s="30"/>
      <c r="M162" s="30"/>
      <c r="N162" s="30"/>
      <c r="R162" s="240"/>
    </row>
    <row r="163">
      <c r="A163" s="30"/>
      <c r="B163" s="249"/>
      <c r="C163" s="249"/>
      <c r="D163" s="30"/>
      <c r="E163" s="30"/>
      <c r="F163" s="30"/>
      <c r="G163" s="30"/>
      <c r="H163" s="30"/>
      <c r="I163" s="30"/>
      <c r="J163" s="30"/>
      <c r="K163" s="30"/>
      <c r="L163" s="30"/>
      <c r="M163" s="30"/>
      <c r="N163" s="30"/>
      <c r="R163" s="240"/>
    </row>
    <row r="164">
      <c r="A164" s="30"/>
      <c r="B164" s="249"/>
      <c r="C164" s="249"/>
      <c r="D164" s="30"/>
      <c r="E164" s="30"/>
      <c r="F164" s="30"/>
      <c r="G164" s="30"/>
      <c r="H164" s="30"/>
      <c r="I164" s="30"/>
      <c r="J164" s="30"/>
      <c r="K164" s="30"/>
      <c r="L164" s="30"/>
      <c r="M164" s="30"/>
      <c r="N164" s="30"/>
      <c r="R164" s="240"/>
    </row>
    <row r="165">
      <c r="A165" s="30"/>
      <c r="B165" s="249"/>
      <c r="C165" s="249"/>
      <c r="D165" s="30"/>
      <c r="E165" s="30"/>
      <c r="F165" s="30"/>
      <c r="G165" s="30"/>
      <c r="H165" s="30"/>
      <c r="I165" s="30"/>
      <c r="J165" s="30"/>
      <c r="K165" s="30"/>
      <c r="L165" s="30"/>
      <c r="M165" s="30"/>
      <c r="N165" s="30"/>
      <c r="R165" s="240"/>
    </row>
    <row r="166">
      <c r="A166" s="30"/>
      <c r="B166" s="249"/>
      <c r="C166" s="249"/>
      <c r="D166" s="30"/>
      <c r="E166" s="30"/>
      <c r="F166" s="30"/>
      <c r="G166" s="30"/>
      <c r="H166" s="30"/>
      <c r="I166" s="30"/>
      <c r="J166" s="30"/>
      <c r="K166" s="30"/>
      <c r="L166" s="30"/>
      <c r="M166" s="30"/>
      <c r="N166" s="30"/>
      <c r="R166" s="240"/>
    </row>
    <row r="167">
      <c r="A167" s="30"/>
      <c r="B167" s="249"/>
      <c r="C167" s="249"/>
      <c r="D167" s="30"/>
      <c r="E167" s="30"/>
      <c r="F167" s="30"/>
      <c r="G167" s="30"/>
      <c r="H167" s="30"/>
      <c r="I167" s="30"/>
      <c r="J167" s="30"/>
      <c r="K167" s="30"/>
      <c r="L167" s="30"/>
      <c r="M167" s="30"/>
      <c r="N167" s="30"/>
      <c r="R167" s="240"/>
    </row>
    <row r="168">
      <c r="A168" s="30"/>
      <c r="B168" s="249"/>
      <c r="C168" s="249"/>
      <c r="D168" s="30"/>
      <c r="E168" s="30"/>
      <c r="F168" s="30"/>
      <c r="G168" s="30"/>
      <c r="H168" s="30"/>
      <c r="I168" s="30"/>
      <c r="J168" s="30"/>
      <c r="K168" s="30"/>
      <c r="L168" s="30"/>
      <c r="M168" s="30"/>
      <c r="N168" s="30"/>
      <c r="R168" s="240"/>
    </row>
    <row r="169">
      <c r="A169" s="30"/>
      <c r="B169" s="249"/>
      <c r="C169" s="249"/>
      <c r="D169" s="30"/>
      <c r="E169" s="30"/>
      <c r="F169" s="30"/>
      <c r="G169" s="30"/>
      <c r="H169" s="30"/>
      <c r="I169" s="30"/>
      <c r="J169" s="30"/>
      <c r="K169" s="30"/>
      <c r="L169" s="30"/>
      <c r="M169" s="30"/>
      <c r="N169" s="30"/>
      <c r="R169" s="240"/>
    </row>
    <row r="170">
      <c r="A170" s="30"/>
      <c r="B170" s="249"/>
      <c r="C170" s="249"/>
      <c r="D170" s="30"/>
      <c r="E170" s="30"/>
      <c r="F170" s="30"/>
      <c r="G170" s="30"/>
      <c r="H170" s="30"/>
      <c r="I170" s="30"/>
      <c r="J170" s="30"/>
      <c r="K170" s="30"/>
      <c r="L170" s="30"/>
      <c r="M170" s="30"/>
      <c r="N170" s="30"/>
      <c r="R170" s="240"/>
    </row>
    <row r="171">
      <c r="A171" s="30"/>
      <c r="B171" s="249"/>
      <c r="C171" s="249"/>
      <c r="D171" s="30"/>
      <c r="E171" s="30"/>
      <c r="F171" s="30"/>
      <c r="G171" s="30"/>
      <c r="H171" s="30"/>
      <c r="I171" s="30"/>
      <c r="J171" s="30"/>
      <c r="K171" s="30"/>
      <c r="L171" s="30"/>
      <c r="M171" s="30"/>
      <c r="N171" s="30"/>
      <c r="R171" s="240"/>
    </row>
    <row r="172">
      <c r="A172" s="30"/>
      <c r="B172" s="249"/>
      <c r="C172" s="249"/>
      <c r="D172" s="30"/>
      <c r="E172" s="30"/>
      <c r="F172" s="30"/>
      <c r="G172" s="30"/>
      <c r="H172" s="30"/>
      <c r="I172" s="30"/>
      <c r="J172" s="30"/>
      <c r="K172" s="30"/>
      <c r="L172" s="30"/>
      <c r="M172" s="30"/>
      <c r="N172" s="30"/>
      <c r="R172" s="240"/>
    </row>
    <row r="173">
      <c r="A173" s="30"/>
      <c r="B173" s="249"/>
      <c r="C173" s="249"/>
      <c r="D173" s="30"/>
      <c r="E173" s="30"/>
      <c r="F173" s="30"/>
      <c r="G173" s="30"/>
      <c r="H173" s="30"/>
      <c r="I173" s="30"/>
      <c r="J173" s="30"/>
      <c r="K173" s="30"/>
      <c r="L173" s="30"/>
      <c r="M173" s="30"/>
      <c r="N173" s="30"/>
      <c r="R173" s="240"/>
    </row>
    <row r="174">
      <c r="A174" s="30"/>
      <c r="B174" s="249"/>
      <c r="C174" s="249"/>
      <c r="D174" s="30"/>
      <c r="E174" s="30"/>
      <c r="F174" s="30"/>
      <c r="G174" s="30"/>
      <c r="H174" s="30"/>
      <c r="I174" s="30"/>
      <c r="J174" s="30"/>
      <c r="K174" s="30"/>
      <c r="L174" s="30"/>
      <c r="M174" s="30"/>
      <c r="N174" s="30"/>
      <c r="R174" s="240"/>
    </row>
    <row r="175">
      <c r="A175" s="30"/>
      <c r="B175" s="249"/>
      <c r="C175" s="249"/>
      <c r="D175" s="30"/>
      <c r="E175" s="30"/>
      <c r="F175" s="30"/>
      <c r="G175" s="30"/>
      <c r="H175" s="30"/>
      <c r="I175" s="30"/>
      <c r="J175" s="30"/>
      <c r="K175" s="30"/>
      <c r="L175" s="30"/>
      <c r="M175" s="30"/>
      <c r="N175" s="30"/>
      <c r="R175" s="240"/>
    </row>
    <row r="176">
      <c r="A176" s="30"/>
      <c r="B176" s="249"/>
      <c r="C176" s="249"/>
      <c r="D176" s="30"/>
      <c r="E176" s="30"/>
      <c r="F176" s="30"/>
      <c r="G176" s="30"/>
      <c r="H176" s="30"/>
      <c r="I176" s="30"/>
      <c r="J176" s="30"/>
      <c r="K176" s="30"/>
      <c r="L176" s="30"/>
      <c r="M176" s="30"/>
      <c r="N176" s="30"/>
      <c r="R176" s="240"/>
    </row>
    <row r="177">
      <c r="A177" s="30"/>
      <c r="B177" s="249"/>
      <c r="C177" s="249"/>
      <c r="D177" s="30"/>
      <c r="E177" s="30"/>
      <c r="F177" s="30"/>
      <c r="G177" s="30"/>
      <c r="H177" s="30"/>
      <c r="I177" s="30"/>
      <c r="J177" s="30"/>
      <c r="K177" s="30"/>
      <c r="L177" s="30"/>
      <c r="M177" s="30"/>
      <c r="N177" s="30"/>
      <c r="R177" s="240"/>
    </row>
    <row r="178">
      <c r="A178" s="30"/>
      <c r="B178" s="249"/>
      <c r="C178" s="249"/>
      <c r="D178" s="30"/>
      <c r="E178" s="30"/>
      <c r="F178" s="30"/>
      <c r="G178" s="30"/>
      <c r="H178" s="30"/>
      <c r="I178" s="30"/>
      <c r="J178" s="30"/>
      <c r="K178" s="30"/>
      <c r="L178" s="30"/>
      <c r="M178" s="30"/>
      <c r="N178" s="30"/>
      <c r="R178" s="240"/>
    </row>
    <row r="179">
      <c r="A179" s="30"/>
      <c r="B179" s="249"/>
      <c r="C179" s="249"/>
      <c r="D179" s="30"/>
      <c r="E179" s="30"/>
      <c r="F179" s="30"/>
      <c r="G179" s="30"/>
      <c r="H179" s="30"/>
      <c r="I179" s="30"/>
      <c r="J179" s="30"/>
      <c r="K179" s="30"/>
      <c r="L179" s="30"/>
      <c r="M179" s="30"/>
      <c r="N179" s="30"/>
      <c r="R179" s="240"/>
    </row>
    <row r="180">
      <c r="A180" s="30"/>
      <c r="B180" s="249"/>
      <c r="C180" s="249"/>
      <c r="D180" s="30"/>
      <c r="E180" s="30"/>
      <c r="F180" s="30"/>
      <c r="G180" s="30"/>
      <c r="H180" s="30"/>
      <c r="I180" s="30"/>
      <c r="J180" s="30"/>
      <c r="K180" s="30"/>
      <c r="L180" s="30"/>
      <c r="M180" s="30"/>
      <c r="N180" s="30"/>
      <c r="R180" s="240"/>
    </row>
    <row r="181">
      <c r="A181" s="30"/>
      <c r="B181" s="249"/>
      <c r="C181" s="249"/>
      <c r="D181" s="30"/>
      <c r="E181" s="30"/>
      <c r="F181" s="30"/>
      <c r="G181" s="30"/>
      <c r="H181" s="30"/>
      <c r="I181" s="30"/>
      <c r="J181" s="30"/>
      <c r="K181" s="30"/>
      <c r="L181" s="30"/>
      <c r="M181" s="30"/>
      <c r="N181" s="30"/>
      <c r="R181" s="240"/>
    </row>
    <row r="182">
      <c r="A182" s="30"/>
      <c r="B182" s="249"/>
      <c r="C182" s="249"/>
      <c r="D182" s="30"/>
      <c r="E182" s="30"/>
      <c r="F182" s="30"/>
      <c r="G182" s="30"/>
      <c r="H182" s="30"/>
      <c r="I182" s="30"/>
      <c r="J182" s="30"/>
      <c r="K182" s="30"/>
      <c r="L182" s="30"/>
      <c r="M182" s="30"/>
      <c r="N182" s="30"/>
      <c r="R182" s="240"/>
    </row>
    <row r="183">
      <c r="A183" s="30"/>
      <c r="B183" s="249"/>
      <c r="C183" s="249"/>
      <c r="D183" s="30"/>
      <c r="E183" s="30"/>
      <c r="F183" s="30"/>
      <c r="G183" s="30"/>
      <c r="H183" s="30"/>
      <c r="I183" s="30"/>
      <c r="J183" s="30"/>
      <c r="K183" s="30"/>
      <c r="L183" s="30"/>
      <c r="M183" s="30"/>
      <c r="N183" s="30"/>
      <c r="R183" s="240"/>
    </row>
    <row r="184">
      <c r="A184" s="30"/>
      <c r="B184" s="249"/>
      <c r="C184" s="249"/>
      <c r="D184" s="30"/>
      <c r="E184" s="30"/>
      <c r="F184" s="30"/>
      <c r="G184" s="30"/>
      <c r="H184" s="30"/>
      <c r="I184" s="30"/>
      <c r="J184" s="30"/>
      <c r="K184" s="30"/>
      <c r="L184" s="30"/>
      <c r="M184" s="30"/>
      <c r="N184" s="30"/>
      <c r="R184" s="240"/>
    </row>
    <row r="185">
      <c r="A185" s="30"/>
      <c r="B185" s="249"/>
      <c r="C185" s="249"/>
      <c r="D185" s="30"/>
      <c r="E185" s="30"/>
      <c r="F185" s="30"/>
      <c r="G185" s="30"/>
      <c r="H185" s="30"/>
      <c r="I185" s="30"/>
      <c r="J185" s="30"/>
      <c r="K185" s="30"/>
      <c r="L185" s="30"/>
      <c r="M185" s="30"/>
      <c r="N185" s="30"/>
      <c r="R185" s="240"/>
    </row>
    <row r="186">
      <c r="A186" s="30"/>
      <c r="B186" s="249"/>
      <c r="C186" s="249"/>
      <c r="D186" s="30"/>
      <c r="E186" s="30"/>
      <c r="F186" s="30"/>
      <c r="G186" s="30"/>
      <c r="H186" s="30"/>
      <c r="I186" s="30"/>
      <c r="J186" s="30"/>
      <c r="K186" s="30"/>
      <c r="L186" s="30"/>
      <c r="M186" s="30"/>
      <c r="N186" s="30"/>
      <c r="R186" s="240"/>
    </row>
    <row r="187">
      <c r="A187" s="30"/>
      <c r="B187" s="249"/>
      <c r="C187" s="249"/>
      <c r="D187" s="30"/>
      <c r="E187" s="30"/>
      <c r="F187" s="30"/>
      <c r="G187" s="30"/>
      <c r="H187" s="30"/>
      <c r="I187" s="30"/>
      <c r="J187" s="30"/>
      <c r="K187" s="30"/>
      <c r="L187" s="30"/>
      <c r="M187" s="30"/>
      <c r="N187" s="30"/>
      <c r="R187" s="240"/>
    </row>
    <row r="188">
      <c r="A188" s="30"/>
      <c r="B188" s="249"/>
      <c r="C188" s="249"/>
      <c r="D188" s="30"/>
      <c r="E188" s="30"/>
      <c r="F188" s="30"/>
      <c r="G188" s="30"/>
      <c r="H188" s="30"/>
      <c r="I188" s="30"/>
      <c r="J188" s="30"/>
      <c r="K188" s="30"/>
      <c r="L188" s="30"/>
      <c r="M188" s="30"/>
      <c r="N188" s="30"/>
      <c r="R188" s="240"/>
    </row>
    <row r="189">
      <c r="A189" s="30"/>
      <c r="B189" s="249"/>
      <c r="C189" s="249"/>
      <c r="D189" s="30"/>
      <c r="E189" s="30"/>
      <c r="F189" s="30"/>
      <c r="G189" s="30"/>
      <c r="H189" s="30"/>
      <c r="I189" s="30"/>
      <c r="J189" s="30"/>
      <c r="K189" s="30"/>
      <c r="L189" s="30"/>
      <c r="M189" s="30"/>
      <c r="N189" s="30"/>
      <c r="R189" s="240"/>
    </row>
    <row r="190">
      <c r="A190" s="30"/>
      <c r="B190" s="249"/>
      <c r="C190" s="249"/>
      <c r="D190" s="30"/>
      <c r="E190" s="30"/>
      <c r="F190" s="30"/>
      <c r="G190" s="30"/>
      <c r="H190" s="30"/>
      <c r="I190" s="30"/>
      <c r="J190" s="30"/>
      <c r="K190" s="30"/>
      <c r="L190" s="30"/>
      <c r="M190" s="30"/>
      <c r="N190" s="30"/>
      <c r="R190" s="240"/>
    </row>
    <row r="191">
      <c r="A191" s="30"/>
      <c r="B191" s="249"/>
      <c r="C191" s="249"/>
      <c r="D191" s="30"/>
      <c r="E191" s="30"/>
      <c r="F191" s="30"/>
      <c r="G191" s="30"/>
      <c r="H191" s="30"/>
      <c r="I191" s="30"/>
      <c r="J191" s="30"/>
      <c r="K191" s="30"/>
      <c r="L191" s="30"/>
      <c r="M191" s="30"/>
      <c r="N191" s="30"/>
      <c r="R191" s="240"/>
    </row>
    <row r="192">
      <c r="A192" s="30"/>
      <c r="B192" s="249"/>
      <c r="C192" s="249"/>
      <c r="D192" s="30"/>
      <c r="E192" s="30"/>
      <c r="F192" s="30"/>
      <c r="G192" s="30"/>
      <c r="H192" s="30"/>
      <c r="I192" s="30"/>
      <c r="J192" s="30"/>
      <c r="K192" s="30"/>
      <c r="L192" s="30"/>
      <c r="M192" s="30"/>
      <c r="N192" s="30"/>
      <c r="R192" s="240"/>
    </row>
    <row r="193">
      <c r="A193" s="30"/>
      <c r="B193" s="249"/>
      <c r="C193" s="249"/>
      <c r="D193" s="30"/>
      <c r="E193" s="30"/>
      <c r="F193" s="30"/>
      <c r="G193" s="30"/>
      <c r="H193" s="30"/>
      <c r="I193" s="30"/>
      <c r="J193" s="30"/>
      <c r="K193" s="30"/>
      <c r="L193" s="30"/>
      <c r="M193" s="30"/>
      <c r="N193" s="30"/>
      <c r="R193" s="240"/>
    </row>
    <row r="194">
      <c r="A194" s="30"/>
      <c r="B194" s="249"/>
      <c r="C194" s="249"/>
      <c r="D194" s="30"/>
      <c r="E194" s="30"/>
      <c r="F194" s="30"/>
      <c r="G194" s="30"/>
      <c r="H194" s="30"/>
      <c r="I194" s="30"/>
      <c r="J194" s="30"/>
      <c r="K194" s="30"/>
      <c r="L194" s="30"/>
      <c r="M194" s="30"/>
      <c r="N194" s="30"/>
      <c r="R194" s="240"/>
    </row>
    <row r="195">
      <c r="A195" s="30"/>
      <c r="B195" s="249"/>
      <c r="C195" s="249"/>
      <c r="D195" s="30"/>
      <c r="E195" s="30"/>
      <c r="F195" s="30"/>
      <c r="G195" s="30"/>
      <c r="H195" s="30"/>
      <c r="I195" s="30"/>
      <c r="J195" s="30"/>
      <c r="K195" s="30"/>
      <c r="L195" s="30"/>
      <c r="M195" s="30"/>
      <c r="N195" s="30"/>
      <c r="R195" s="240"/>
    </row>
    <row r="196">
      <c r="A196" s="30"/>
      <c r="B196" s="249"/>
      <c r="C196" s="249"/>
      <c r="D196" s="30"/>
      <c r="E196" s="30"/>
      <c r="F196" s="30"/>
      <c r="G196" s="30"/>
      <c r="H196" s="30"/>
      <c r="I196" s="30"/>
      <c r="J196" s="30"/>
      <c r="K196" s="30"/>
      <c r="L196" s="30"/>
      <c r="M196" s="30"/>
      <c r="N196" s="30"/>
      <c r="R196" s="240"/>
    </row>
    <row r="197">
      <c r="A197" s="30"/>
      <c r="B197" s="249"/>
      <c r="C197" s="249"/>
      <c r="D197" s="30"/>
      <c r="E197" s="30"/>
      <c r="F197" s="30"/>
      <c r="G197" s="30"/>
      <c r="H197" s="30"/>
      <c r="I197" s="30"/>
      <c r="J197" s="30"/>
      <c r="K197" s="30"/>
      <c r="L197" s="30"/>
      <c r="M197" s="30"/>
      <c r="N197" s="30"/>
      <c r="R197" s="240"/>
    </row>
    <row r="198">
      <c r="A198" s="30"/>
      <c r="B198" s="249"/>
      <c r="C198" s="249"/>
      <c r="D198" s="30"/>
      <c r="E198" s="30"/>
      <c r="F198" s="30"/>
      <c r="G198" s="30"/>
      <c r="H198" s="30"/>
      <c r="I198" s="30"/>
      <c r="J198" s="30"/>
      <c r="K198" s="30"/>
      <c r="L198" s="30"/>
      <c r="M198" s="30"/>
      <c r="N198" s="30"/>
      <c r="R198" s="240"/>
    </row>
    <row r="199">
      <c r="A199" s="30"/>
      <c r="B199" s="249"/>
      <c r="C199" s="249"/>
      <c r="D199" s="30"/>
      <c r="E199" s="30"/>
      <c r="F199" s="30"/>
      <c r="G199" s="30"/>
      <c r="H199" s="30"/>
      <c r="I199" s="30"/>
      <c r="J199" s="30"/>
      <c r="K199" s="30"/>
      <c r="L199" s="30"/>
      <c r="M199" s="30"/>
      <c r="N199" s="30"/>
      <c r="R199" s="240"/>
    </row>
    <row r="200">
      <c r="A200" s="30"/>
      <c r="B200" s="249"/>
      <c r="C200" s="249"/>
      <c r="D200" s="30"/>
      <c r="E200" s="30"/>
      <c r="F200" s="30"/>
      <c r="G200" s="30"/>
      <c r="H200" s="30"/>
      <c r="I200" s="30"/>
      <c r="J200" s="30"/>
      <c r="K200" s="30"/>
      <c r="L200" s="30"/>
      <c r="M200" s="30"/>
      <c r="N200" s="30"/>
      <c r="R200" s="240"/>
    </row>
    <row r="201">
      <c r="A201" s="30"/>
      <c r="B201" s="249"/>
      <c r="C201" s="249"/>
      <c r="D201" s="30"/>
      <c r="E201" s="30"/>
      <c r="F201" s="30"/>
      <c r="G201" s="30"/>
      <c r="H201" s="30"/>
      <c r="I201" s="30"/>
      <c r="J201" s="30"/>
      <c r="K201" s="30"/>
      <c r="L201" s="30"/>
      <c r="M201" s="30"/>
      <c r="N201" s="30"/>
      <c r="R201" s="240"/>
    </row>
    <row r="202">
      <c r="A202" s="30"/>
      <c r="B202" s="249"/>
      <c r="C202" s="249"/>
      <c r="D202" s="30"/>
      <c r="E202" s="30"/>
      <c r="F202" s="30"/>
      <c r="G202" s="30"/>
      <c r="H202" s="30"/>
      <c r="I202" s="30"/>
      <c r="J202" s="30"/>
      <c r="K202" s="30"/>
      <c r="L202" s="30"/>
      <c r="M202" s="30"/>
      <c r="N202" s="30"/>
      <c r="R202" s="240"/>
    </row>
    <row r="203">
      <c r="A203" s="30"/>
      <c r="B203" s="249"/>
      <c r="C203" s="249"/>
      <c r="D203" s="30"/>
      <c r="E203" s="30"/>
      <c r="F203" s="30"/>
      <c r="G203" s="30"/>
      <c r="H203" s="30"/>
      <c r="I203" s="30"/>
      <c r="J203" s="30"/>
      <c r="K203" s="30"/>
      <c r="L203" s="30"/>
      <c r="M203" s="30"/>
      <c r="N203" s="30"/>
      <c r="R203" s="240"/>
    </row>
    <row r="204">
      <c r="A204" s="30"/>
      <c r="B204" s="249"/>
      <c r="C204" s="249"/>
      <c r="D204" s="30"/>
      <c r="E204" s="30"/>
      <c r="F204" s="30"/>
      <c r="G204" s="30"/>
      <c r="H204" s="30"/>
      <c r="I204" s="30"/>
      <c r="J204" s="30"/>
      <c r="K204" s="30"/>
      <c r="L204" s="30"/>
      <c r="M204" s="30"/>
      <c r="N204" s="30"/>
      <c r="R204" s="240"/>
    </row>
    <row r="205">
      <c r="A205" s="30"/>
      <c r="B205" s="249"/>
      <c r="C205" s="249"/>
      <c r="D205" s="30"/>
      <c r="E205" s="30"/>
      <c r="F205" s="30"/>
      <c r="G205" s="30"/>
      <c r="H205" s="30"/>
      <c r="I205" s="30"/>
      <c r="J205" s="30"/>
      <c r="K205" s="30"/>
      <c r="L205" s="30"/>
      <c r="M205" s="30"/>
      <c r="N205" s="30"/>
      <c r="R205" s="240"/>
    </row>
    <row r="206">
      <c r="A206" s="30"/>
      <c r="B206" s="249"/>
      <c r="C206" s="249"/>
      <c r="D206" s="30"/>
      <c r="E206" s="30"/>
      <c r="F206" s="30"/>
      <c r="G206" s="30"/>
      <c r="H206" s="30"/>
      <c r="I206" s="30"/>
      <c r="J206" s="30"/>
      <c r="K206" s="30"/>
      <c r="L206" s="30"/>
      <c r="M206" s="30"/>
      <c r="N206" s="30"/>
      <c r="R206" s="240"/>
    </row>
    <row r="207">
      <c r="A207" s="30"/>
      <c r="B207" s="249"/>
      <c r="C207" s="249"/>
      <c r="D207" s="30"/>
      <c r="E207" s="30"/>
      <c r="F207" s="30"/>
      <c r="G207" s="30"/>
      <c r="H207" s="30"/>
      <c r="I207" s="30"/>
      <c r="J207" s="30"/>
      <c r="K207" s="30"/>
      <c r="L207" s="30"/>
      <c r="M207" s="30"/>
      <c r="N207" s="30"/>
      <c r="R207" s="240"/>
    </row>
    <row r="208">
      <c r="A208" s="30"/>
      <c r="B208" s="249"/>
      <c r="C208" s="249"/>
      <c r="D208" s="30"/>
      <c r="E208" s="30"/>
      <c r="F208" s="30"/>
      <c r="G208" s="30"/>
      <c r="H208" s="30"/>
      <c r="I208" s="30"/>
      <c r="J208" s="30"/>
      <c r="K208" s="30"/>
      <c r="L208" s="30"/>
      <c r="M208" s="30"/>
      <c r="N208" s="30"/>
      <c r="R208" s="240"/>
    </row>
    <row r="209">
      <c r="A209" s="30"/>
      <c r="B209" s="249"/>
      <c r="C209" s="249"/>
      <c r="D209" s="30"/>
      <c r="E209" s="30"/>
      <c r="F209" s="30"/>
      <c r="G209" s="30"/>
      <c r="H209" s="30"/>
      <c r="I209" s="30"/>
      <c r="J209" s="30"/>
      <c r="K209" s="30"/>
      <c r="L209" s="30"/>
      <c r="M209" s="30"/>
      <c r="N209" s="30"/>
      <c r="R209" s="240"/>
    </row>
    <row r="210">
      <c r="A210" s="30"/>
      <c r="B210" s="249"/>
      <c r="C210" s="249"/>
      <c r="D210" s="30"/>
      <c r="E210" s="30"/>
      <c r="F210" s="30"/>
      <c r="G210" s="30"/>
      <c r="H210" s="30"/>
      <c r="I210" s="30"/>
      <c r="J210" s="30"/>
      <c r="K210" s="30"/>
      <c r="L210" s="30"/>
      <c r="M210" s="30"/>
      <c r="N210" s="30"/>
      <c r="R210" s="240"/>
    </row>
    <row r="211">
      <c r="A211" s="30"/>
      <c r="B211" s="249"/>
      <c r="C211" s="249"/>
      <c r="D211" s="30"/>
      <c r="E211" s="30"/>
      <c r="F211" s="30"/>
      <c r="G211" s="30"/>
      <c r="H211" s="30"/>
      <c r="I211" s="30"/>
      <c r="J211" s="30"/>
      <c r="K211" s="30"/>
      <c r="L211" s="30"/>
      <c r="M211" s="30"/>
      <c r="N211" s="30"/>
      <c r="R211" s="240"/>
    </row>
    <row r="212">
      <c r="A212" s="30"/>
      <c r="B212" s="249"/>
      <c r="C212" s="249"/>
      <c r="D212" s="30"/>
      <c r="E212" s="30"/>
      <c r="F212" s="30"/>
      <c r="G212" s="30"/>
      <c r="H212" s="30"/>
      <c r="I212" s="30"/>
      <c r="J212" s="30"/>
      <c r="K212" s="30"/>
      <c r="L212" s="30"/>
      <c r="M212" s="30"/>
      <c r="N212" s="30"/>
      <c r="R212" s="240"/>
    </row>
    <row r="213">
      <c r="A213" s="30"/>
      <c r="B213" s="249"/>
      <c r="C213" s="249"/>
      <c r="D213" s="30"/>
      <c r="E213" s="30"/>
      <c r="F213" s="30"/>
      <c r="G213" s="30"/>
      <c r="H213" s="30"/>
      <c r="I213" s="30"/>
      <c r="J213" s="30"/>
      <c r="K213" s="30"/>
      <c r="L213" s="30"/>
      <c r="M213" s="30"/>
      <c r="N213" s="30"/>
      <c r="R213" s="240"/>
    </row>
    <row r="214">
      <c r="A214" s="30"/>
      <c r="B214" s="249"/>
      <c r="C214" s="249"/>
      <c r="D214" s="30"/>
      <c r="E214" s="30"/>
      <c r="F214" s="30"/>
      <c r="G214" s="30"/>
      <c r="H214" s="30"/>
      <c r="I214" s="30"/>
      <c r="J214" s="30"/>
      <c r="K214" s="30"/>
      <c r="L214" s="30"/>
      <c r="M214" s="30"/>
      <c r="N214" s="30"/>
      <c r="R214" s="240"/>
    </row>
    <row r="215">
      <c r="A215" s="30"/>
      <c r="B215" s="249"/>
      <c r="C215" s="249"/>
      <c r="D215" s="30"/>
      <c r="E215" s="30"/>
      <c r="F215" s="30"/>
      <c r="G215" s="30"/>
      <c r="H215" s="30"/>
      <c r="I215" s="30"/>
      <c r="J215" s="30"/>
      <c r="K215" s="30"/>
      <c r="L215" s="30"/>
      <c r="M215" s="30"/>
      <c r="N215" s="30"/>
      <c r="R215" s="240"/>
    </row>
    <row r="216">
      <c r="A216" s="30"/>
      <c r="B216" s="249"/>
      <c r="C216" s="249"/>
      <c r="D216" s="30"/>
      <c r="E216" s="30"/>
      <c r="F216" s="30"/>
      <c r="G216" s="30"/>
      <c r="H216" s="30"/>
      <c r="I216" s="30"/>
      <c r="J216" s="30"/>
      <c r="K216" s="30"/>
      <c r="L216" s="30"/>
      <c r="M216" s="30"/>
      <c r="N216" s="30"/>
      <c r="R216" s="240"/>
    </row>
    <row r="217">
      <c r="A217" s="30"/>
      <c r="B217" s="249"/>
      <c r="C217" s="249"/>
      <c r="D217" s="30"/>
      <c r="E217" s="30"/>
      <c r="F217" s="30"/>
      <c r="G217" s="30"/>
      <c r="H217" s="30"/>
      <c r="I217" s="30"/>
      <c r="J217" s="30"/>
      <c r="K217" s="30"/>
      <c r="L217" s="30"/>
      <c r="M217" s="30"/>
      <c r="N217" s="30"/>
      <c r="R217" s="240"/>
    </row>
    <row r="218">
      <c r="A218" s="30"/>
      <c r="B218" s="249"/>
      <c r="C218" s="249"/>
      <c r="D218" s="30"/>
      <c r="E218" s="30"/>
      <c r="F218" s="30"/>
      <c r="G218" s="30"/>
      <c r="H218" s="30"/>
      <c r="I218" s="30"/>
      <c r="J218" s="30"/>
      <c r="K218" s="30"/>
      <c r="L218" s="30"/>
      <c r="M218" s="30"/>
      <c r="N218" s="30"/>
      <c r="R218" s="240"/>
    </row>
    <row r="219">
      <c r="A219" s="30"/>
      <c r="B219" s="249"/>
      <c r="C219" s="249"/>
      <c r="D219" s="30"/>
      <c r="E219" s="30"/>
      <c r="F219" s="30"/>
      <c r="G219" s="30"/>
      <c r="H219" s="30"/>
      <c r="I219" s="30"/>
      <c r="J219" s="30"/>
      <c r="K219" s="30"/>
      <c r="L219" s="30"/>
      <c r="M219" s="30"/>
      <c r="N219" s="30"/>
      <c r="R219" s="240"/>
    </row>
    <row r="220">
      <c r="A220" s="30"/>
      <c r="B220" s="249"/>
      <c r="C220" s="249"/>
      <c r="D220" s="30"/>
      <c r="E220" s="30"/>
      <c r="F220" s="30"/>
      <c r="G220" s="30"/>
      <c r="H220" s="30"/>
      <c r="I220" s="30"/>
      <c r="J220" s="30"/>
      <c r="K220" s="30"/>
      <c r="L220" s="30"/>
      <c r="M220" s="30"/>
      <c r="N220" s="30"/>
      <c r="R220" s="240"/>
    </row>
    <row r="221">
      <c r="A221" s="30"/>
      <c r="B221" s="249"/>
      <c r="C221" s="249"/>
      <c r="D221" s="30"/>
      <c r="E221" s="30"/>
      <c r="F221" s="30"/>
      <c r="G221" s="30"/>
      <c r="H221" s="30"/>
      <c r="I221" s="30"/>
      <c r="J221" s="30"/>
      <c r="K221" s="30"/>
      <c r="L221" s="30"/>
      <c r="M221" s="30"/>
      <c r="N221" s="30"/>
      <c r="R221" s="240"/>
    </row>
    <row r="222">
      <c r="A222" s="30"/>
      <c r="B222" s="249"/>
      <c r="C222" s="249"/>
      <c r="D222" s="30"/>
      <c r="E222" s="30"/>
      <c r="F222" s="30"/>
      <c r="G222" s="30"/>
      <c r="H222" s="30"/>
      <c r="I222" s="30"/>
      <c r="J222" s="30"/>
      <c r="K222" s="30"/>
      <c r="L222" s="30"/>
      <c r="M222" s="30"/>
      <c r="N222" s="30"/>
      <c r="R222" s="240"/>
    </row>
    <row r="223">
      <c r="A223" s="30"/>
      <c r="B223" s="249"/>
      <c r="C223" s="249"/>
      <c r="D223" s="30"/>
      <c r="E223" s="30"/>
      <c r="F223" s="30"/>
      <c r="G223" s="30"/>
      <c r="H223" s="30"/>
      <c r="I223" s="30"/>
      <c r="J223" s="30"/>
      <c r="K223" s="30"/>
      <c r="L223" s="30"/>
      <c r="M223" s="30"/>
      <c r="N223" s="30"/>
      <c r="R223" s="240"/>
    </row>
    <row r="224">
      <c r="A224" s="30"/>
      <c r="B224" s="249"/>
      <c r="C224" s="249"/>
      <c r="D224" s="30"/>
      <c r="E224" s="30"/>
      <c r="F224" s="30"/>
      <c r="G224" s="30"/>
      <c r="H224" s="30"/>
      <c r="I224" s="30"/>
      <c r="J224" s="30"/>
      <c r="K224" s="30"/>
      <c r="L224" s="30"/>
      <c r="M224" s="30"/>
      <c r="N224" s="30"/>
      <c r="R224" s="240"/>
    </row>
    <row r="225">
      <c r="A225" s="30"/>
      <c r="B225" s="249"/>
      <c r="C225" s="249"/>
      <c r="D225" s="30"/>
      <c r="E225" s="30"/>
      <c r="F225" s="30"/>
      <c r="G225" s="30"/>
      <c r="H225" s="30"/>
      <c r="I225" s="30"/>
      <c r="J225" s="30"/>
      <c r="K225" s="30"/>
      <c r="L225" s="30"/>
      <c r="M225" s="30"/>
      <c r="N225" s="30"/>
      <c r="R225" s="240"/>
    </row>
    <row r="226">
      <c r="A226" s="30"/>
      <c r="B226" s="249"/>
      <c r="C226" s="249"/>
      <c r="D226" s="30"/>
      <c r="E226" s="30"/>
      <c r="F226" s="30"/>
      <c r="G226" s="30"/>
      <c r="H226" s="30"/>
      <c r="I226" s="30"/>
      <c r="J226" s="30"/>
      <c r="K226" s="30"/>
      <c r="L226" s="30"/>
      <c r="M226" s="30"/>
      <c r="N226" s="30"/>
      <c r="R226" s="240"/>
    </row>
    <row r="227">
      <c r="A227" s="30"/>
      <c r="B227" s="249"/>
      <c r="C227" s="249"/>
      <c r="D227" s="30"/>
      <c r="E227" s="30"/>
      <c r="F227" s="30"/>
      <c r="G227" s="30"/>
      <c r="H227" s="30"/>
      <c r="I227" s="30"/>
      <c r="J227" s="30"/>
      <c r="K227" s="30"/>
      <c r="L227" s="30"/>
      <c r="M227" s="30"/>
      <c r="N227" s="30"/>
      <c r="R227" s="240"/>
    </row>
    <row r="228">
      <c r="A228" s="30"/>
      <c r="B228" s="249"/>
      <c r="C228" s="249"/>
      <c r="D228" s="30"/>
      <c r="E228" s="30"/>
      <c r="F228" s="30"/>
      <c r="G228" s="30"/>
      <c r="H228" s="30"/>
      <c r="I228" s="30"/>
      <c r="J228" s="30"/>
      <c r="K228" s="30"/>
      <c r="L228" s="30"/>
      <c r="M228" s="30"/>
      <c r="N228" s="30"/>
      <c r="R228" s="240"/>
    </row>
    <row r="229">
      <c r="A229" s="30"/>
      <c r="B229" s="249"/>
      <c r="C229" s="249"/>
      <c r="D229" s="30"/>
      <c r="E229" s="30"/>
      <c r="F229" s="30"/>
      <c r="G229" s="30"/>
      <c r="H229" s="30"/>
      <c r="I229" s="30"/>
      <c r="J229" s="30"/>
      <c r="K229" s="30"/>
      <c r="L229" s="30"/>
      <c r="M229" s="30"/>
      <c r="N229" s="30"/>
      <c r="R229" s="240"/>
    </row>
    <row r="230">
      <c r="A230" s="30"/>
      <c r="B230" s="249"/>
      <c r="C230" s="249"/>
      <c r="D230" s="30"/>
      <c r="E230" s="30"/>
      <c r="F230" s="30"/>
      <c r="G230" s="30"/>
      <c r="H230" s="30"/>
      <c r="I230" s="30"/>
      <c r="J230" s="30"/>
      <c r="K230" s="30"/>
      <c r="L230" s="30"/>
      <c r="M230" s="30"/>
      <c r="N230" s="30"/>
      <c r="R230" s="240"/>
    </row>
    <row r="231">
      <c r="A231" s="30"/>
      <c r="B231" s="249"/>
      <c r="C231" s="249"/>
      <c r="D231" s="30"/>
      <c r="E231" s="30"/>
      <c r="F231" s="30"/>
      <c r="G231" s="30"/>
      <c r="H231" s="30"/>
      <c r="I231" s="30"/>
      <c r="J231" s="30"/>
      <c r="K231" s="30"/>
      <c r="L231" s="30"/>
      <c r="M231" s="30"/>
      <c r="N231" s="30"/>
      <c r="R231" s="240"/>
    </row>
    <row r="232">
      <c r="A232" s="30"/>
      <c r="B232" s="249"/>
      <c r="C232" s="249"/>
      <c r="D232" s="30"/>
      <c r="E232" s="30"/>
      <c r="F232" s="30"/>
      <c r="G232" s="30"/>
      <c r="H232" s="30"/>
      <c r="I232" s="30"/>
      <c r="J232" s="30"/>
      <c r="K232" s="30"/>
      <c r="L232" s="30"/>
      <c r="M232" s="30"/>
      <c r="N232" s="30"/>
      <c r="R232" s="240"/>
    </row>
    <row r="233">
      <c r="A233" s="30"/>
      <c r="B233" s="249"/>
      <c r="C233" s="249"/>
      <c r="D233" s="30"/>
      <c r="E233" s="30"/>
      <c r="F233" s="30"/>
      <c r="G233" s="30"/>
      <c r="H233" s="30"/>
      <c r="I233" s="30"/>
      <c r="J233" s="30"/>
      <c r="K233" s="30"/>
      <c r="L233" s="30"/>
      <c r="M233" s="30"/>
      <c r="N233" s="30"/>
      <c r="R233" s="240"/>
    </row>
    <row r="234">
      <c r="A234" s="30"/>
      <c r="B234" s="249"/>
      <c r="C234" s="249"/>
      <c r="D234" s="30"/>
      <c r="E234" s="30"/>
      <c r="F234" s="30"/>
      <c r="G234" s="30"/>
      <c r="H234" s="30"/>
      <c r="I234" s="30"/>
      <c r="J234" s="30"/>
      <c r="K234" s="30"/>
      <c r="L234" s="30"/>
      <c r="M234" s="30"/>
      <c r="N234" s="30"/>
      <c r="R234" s="240"/>
    </row>
    <row r="235">
      <c r="A235" s="30"/>
      <c r="B235" s="249"/>
      <c r="C235" s="249"/>
      <c r="D235" s="30"/>
      <c r="E235" s="30"/>
      <c r="F235" s="30"/>
      <c r="G235" s="30"/>
      <c r="H235" s="30"/>
      <c r="I235" s="30"/>
      <c r="J235" s="30"/>
      <c r="K235" s="30"/>
      <c r="L235" s="30"/>
      <c r="M235" s="30"/>
      <c r="N235" s="30"/>
      <c r="R235" s="240"/>
    </row>
    <row r="236">
      <c r="A236" s="30"/>
      <c r="B236" s="249"/>
      <c r="C236" s="249"/>
      <c r="D236" s="30"/>
      <c r="E236" s="30"/>
      <c r="F236" s="30"/>
      <c r="G236" s="30"/>
      <c r="H236" s="30"/>
      <c r="I236" s="30"/>
      <c r="J236" s="30"/>
      <c r="K236" s="30"/>
      <c r="L236" s="30"/>
      <c r="M236" s="30"/>
      <c r="N236" s="30"/>
      <c r="R236" s="240"/>
    </row>
    <row r="237">
      <c r="A237" s="30"/>
      <c r="B237" s="249"/>
      <c r="C237" s="249"/>
      <c r="D237" s="30"/>
      <c r="E237" s="30"/>
      <c r="F237" s="30"/>
      <c r="G237" s="30"/>
      <c r="H237" s="30"/>
      <c r="I237" s="30"/>
      <c r="J237" s="30"/>
      <c r="K237" s="30"/>
      <c r="L237" s="30"/>
      <c r="M237" s="30"/>
      <c r="N237" s="30"/>
      <c r="R237" s="240"/>
    </row>
    <row r="238">
      <c r="A238" s="30"/>
      <c r="B238" s="249"/>
      <c r="C238" s="249"/>
      <c r="D238" s="30"/>
      <c r="E238" s="30"/>
      <c r="F238" s="30"/>
      <c r="G238" s="30"/>
      <c r="H238" s="30"/>
      <c r="I238" s="30"/>
      <c r="J238" s="30"/>
      <c r="K238" s="30"/>
      <c r="L238" s="30"/>
      <c r="M238" s="30"/>
      <c r="N238" s="30"/>
      <c r="R238" s="240"/>
    </row>
    <row r="239">
      <c r="A239" s="30"/>
      <c r="B239" s="249"/>
      <c r="C239" s="249"/>
      <c r="D239" s="30"/>
      <c r="E239" s="30"/>
      <c r="F239" s="30"/>
      <c r="G239" s="30"/>
      <c r="H239" s="30"/>
      <c r="I239" s="30"/>
      <c r="J239" s="30"/>
      <c r="K239" s="30"/>
      <c r="L239" s="30"/>
      <c r="M239" s="30"/>
      <c r="N239" s="30"/>
      <c r="R239" s="240"/>
    </row>
    <row r="240">
      <c r="A240" s="30"/>
      <c r="B240" s="249"/>
      <c r="C240" s="249"/>
      <c r="D240" s="30"/>
      <c r="E240" s="30"/>
      <c r="F240" s="30"/>
      <c r="G240" s="30"/>
      <c r="H240" s="30"/>
      <c r="I240" s="30"/>
      <c r="J240" s="30"/>
      <c r="K240" s="30"/>
      <c r="L240" s="30"/>
      <c r="M240" s="30"/>
      <c r="N240" s="30"/>
      <c r="R240" s="240"/>
    </row>
    <row r="241">
      <c r="A241" s="30"/>
      <c r="B241" s="249"/>
      <c r="C241" s="249"/>
      <c r="D241" s="30"/>
      <c r="E241" s="30"/>
      <c r="F241" s="30"/>
      <c r="G241" s="30"/>
      <c r="H241" s="30"/>
      <c r="I241" s="30"/>
      <c r="J241" s="30"/>
      <c r="K241" s="30"/>
      <c r="L241" s="30"/>
      <c r="M241" s="30"/>
      <c r="N241" s="30"/>
      <c r="R241" s="240"/>
    </row>
    <row r="242">
      <c r="A242" s="30"/>
      <c r="B242" s="249"/>
      <c r="C242" s="249"/>
      <c r="D242" s="30"/>
      <c r="E242" s="30"/>
      <c r="F242" s="30"/>
      <c r="G242" s="30"/>
      <c r="H242" s="30"/>
      <c r="I242" s="30"/>
      <c r="J242" s="30"/>
      <c r="K242" s="30"/>
      <c r="L242" s="30"/>
      <c r="M242" s="30"/>
      <c r="N242" s="30"/>
      <c r="R242" s="240"/>
    </row>
    <row r="243">
      <c r="A243" s="30"/>
      <c r="B243" s="249"/>
      <c r="C243" s="249"/>
      <c r="D243" s="30"/>
      <c r="E243" s="30"/>
      <c r="F243" s="30"/>
      <c r="G243" s="30"/>
      <c r="H243" s="30"/>
      <c r="I243" s="30"/>
      <c r="J243" s="30"/>
      <c r="K243" s="30"/>
      <c r="L243" s="30"/>
      <c r="M243" s="30"/>
      <c r="N243" s="30"/>
      <c r="R243" s="240"/>
    </row>
    <row r="244">
      <c r="A244" s="30"/>
      <c r="B244" s="249"/>
      <c r="C244" s="249"/>
      <c r="D244" s="30"/>
      <c r="E244" s="30"/>
      <c r="F244" s="30"/>
      <c r="G244" s="30"/>
      <c r="H244" s="30"/>
      <c r="I244" s="30"/>
      <c r="J244" s="30"/>
      <c r="K244" s="30"/>
      <c r="L244" s="30"/>
      <c r="M244" s="30"/>
      <c r="N244" s="30"/>
      <c r="R244" s="240"/>
    </row>
    <row r="245">
      <c r="A245" s="30"/>
      <c r="B245" s="249"/>
      <c r="C245" s="249"/>
      <c r="D245" s="30"/>
      <c r="E245" s="30"/>
      <c r="F245" s="30"/>
      <c r="G245" s="30"/>
      <c r="H245" s="30"/>
      <c r="I245" s="30"/>
      <c r="J245" s="30"/>
      <c r="K245" s="30"/>
      <c r="L245" s="30"/>
      <c r="M245" s="30"/>
      <c r="N245" s="30"/>
      <c r="R245" s="240"/>
    </row>
    <row r="246">
      <c r="A246" s="30"/>
      <c r="B246" s="249"/>
      <c r="C246" s="249"/>
      <c r="D246" s="30"/>
      <c r="E246" s="30"/>
      <c r="F246" s="30"/>
      <c r="G246" s="30"/>
      <c r="H246" s="30"/>
      <c r="I246" s="30"/>
      <c r="J246" s="30"/>
      <c r="K246" s="30"/>
      <c r="L246" s="30"/>
      <c r="M246" s="30"/>
      <c r="N246" s="30"/>
      <c r="R246" s="240"/>
    </row>
    <row r="247">
      <c r="A247" s="30"/>
      <c r="B247" s="249"/>
      <c r="C247" s="249"/>
      <c r="D247" s="30"/>
      <c r="E247" s="30"/>
      <c r="F247" s="30"/>
      <c r="G247" s="30"/>
      <c r="H247" s="30"/>
      <c r="I247" s="30"/>
      <c r="J247" s="30"/>
      <c r="K247" s="30"/>
      <c r="L247" s="30"/>
      <c r="M247" s="30"/>
      <c r="N247" s="30"/>
      <c r="R247" s="240"/>
    </row>
    <row r="248">
      <c r="A248" s="30"/>
      <c r="B248" s="249"/>
      <c r="C248" s="249"/>
      <c r="D248" s="30"/>
      <c r="E248" s="30"/>
      <c r="F248" s="30"/>
      <c r="G248" s="30"/>
      <c r="H248" s="30"/>
      <c r="I248" s="30"/>
      <c r="J248" s="30"/>
      <c r="K248" s="30"/>
      <c r="L248" s="30"/>
      <c r="M248" s="30"/>
      <c r="N248" s="30"/>
      <c r="R248" s="240"/>
    </row>
    <row r="249">
      <c r="A249" s="30"/>
      <c r="B249" s="249"/>
      <c r="C249" s="249"/>
      <c r="D249" s="30"/>
      <c r="E249" s="30"/>
      <c r="F249" s="30"/>
      <c r="G249" s="30"/>
      <c r="H249" s="30"/>
      <c r="I249" s="30"/>
      <c r="J249" s="30"/>
      <c r="K249" s="30"/>
      <c r="L249" s="30"/>
      <c r="M249" s="30"/>
      <c r="N249" s="30"/>
      <c r="R249" s="240"/>
    </row>
    <row r="250">
      <c r="A250" s="30"/>
      <c r="B250" s="249"/>
      <c r="C250" s="249"/>
      <c r="D250" s="30"/>
      <c r="E250" s="30"/>
      <c r="F250" s="30"/>
      <c r="G250" s="30"/>
      <c r="H250" s="30"/>
      <c r="I250" s="30"/>
      <c r="J250" s="30"/>
      <c r="K250" s="30"/>
      <c r="L250" s="30"/>
      <c r="M250" s="30"/>
      <c r="N250" s="30"/>
      <c r="R250" s="240"/>
    </row>
    <row r="251">
      <c r="A251" s="30"/>
      <c r="B251" s="249"/>
      <c r="C251" s="249"/>
      <c r="D251" s="30"/>
      <c r="E251" s="30"/>
      <c r="F251" s="30"/>
      <c r="G251" s="30"/>
      <c r="H251" s="30"/>
      <c r="I251" s="30"/>
      <c r="J251" s="30"/>
      <c r="K251" s="30"/>
      <c r="L251" s="30"/>
      <c r="M251" s="30"/>
      <c r="N251" s="30"/>
      <c r="R251" s="240"/>
    </row>
    <row r="252">
      <c r="A252" s="30"/>
      <c r="B252" s="249"/>
      <c r="C252" s="249"/>
      <c r="D252" s="30"/>
      <c r="E252" s="30"/>
      <c r="F252" s="30"/>
      <c r="G252" s="30"/>
      <c r="H252" s="30"/>
      <c r="I252" s="30"/>
      <c r="J252" s="30"/>
      <c r="K252" s="30"/>
      <c r="L252" s="30"/>
      <c r="M252" s="30"/>
      <c r="N252" s="30"/>
      <c r="R252" s="240"/>
    </row>
    <row r="253">
      <c r="A253" s="30"/>
      <c r="B253" s="249"/>
      <c r="C253" s="249"/>
      <c r="D253" s="30"/>
      <c r="E253" s="30"/>
      <c r="F253" s="30"/>
      <c r="G253" s="30"/>
      <c r="H253" s="30"/>
      <c r="I253" s="30"/>
      <c r="J253" s="30"/>
      <c r="K253" s="30"/>
      <c r="L253" s="30"/>
      <c r="M253" s="30"/>
      <c r="N253" s="30"/>
      <c r="R253" s="240"/>
    </row>
    <row r="254">
      <c r="A254" s="30"/>
      <c r="B254" s="249"/>
      <c r="C254" s="249"/>
      <c r="D254" s="30"/>
      <c r="E254" s="30"/>
      <c r="F254" s="30"/>
      <c r="G254" s="30"/>
      <c r="H254" s="30"/>
      <c r="I254" s="30"/>
      <c r="J254" s="30"/>
      <c r="K254" s="30"/>
      <c r="L254" s="30"/>
      <c r="M254" s="30"/>
      <c r="N254" s="30"/>
      <c r="R254" s="240"/>
    </row>
    <row r="255">
      <c r="A255" s="30"/>
      <c r="B255" s="249"/>
      <c r="C255" s="249"/>
      <c r="D255" s="30"/>
      <c r="E255" s="30"/>
      <c r="F255" s="30"/>
      <c r="G255" s="30"/>
      <c r="H255" s="30"/>
      <c r="I255" s="30"/>
      <c r="J255" s="30"/>
      <c r="K255" s="30"/>
      <c r="L255" s="30"/>
      <c r="M255" s="30"/>
      <c r="N255" s="30"/>
      <c r="R255" s="240"/>
    </row>
    <row r="256">
      <c r="A256" s="30"/>
      <c r="B256" s="249"/>
      <c r="C256" s="249"/>
      <c r="D256" s="30"/>
      <c r="E256" s="30"/>
      <c r="F256" s="30"/>
      <c r="G256" s="30"/>
      <c r="H256" s="30"/>
      <c r="I256" s="30"/>
      <c r="J256" s="30"/>
      <c r="K256" s="30"/>
      <c r="L256" s="30"/>
      <c r="M256" s="30"/>
      <c r="N256" s="30"/>
      <c r="R256" s="240"/>
    </row>
    <row r="257">
      <c r="A257" s="30"/>
      <c r="B257" s="249"/>
      <c r="C257" s="249"/>
      <c r="D257" s="30"/>
      <c r="E257" s="30"/>
      <c r="F257" s="30"/>
      <c r="G257" s="30"/>
      <c r="H257" s="30"/>
      <c r="I257" s="30"/>
      <c r="J257" s="30"/>
      <c r="K257" s="30"/>
      <c r="L257" s="30"/>
      <c r="M257" s="30"/>
      <c r="N257" s="30"/>
      <c r="R257" s="240"/>
    </row>
    <row r="258">
      <c r="A258" s="30"/>
      <c r="B258" s="249"/>
      <c r="C258" s="249"/>
      <c r="D258" s="30"/>
      <c r="E258" s="30"/>
      <c r="F258" s="30"/>
      <c r="G258" s="30"/>
      <c r="H258" s="30"/>
      <c r="I258" s="30"/>
      <c r="J258" s="30"/>
      <c r="K258" s="30"/>
      <c r="L258" s="30"/>
      <c r="M258" s="30"/>
      <c r="N258" s="30"/>
      <c r="R258" s="240"/>
    </row>
    <row r="259">
      <c r="A259" s="30"/>
      <c r="B259" s="249"/>
      <c r="C259" s="249"/>
      <c r="D259" s="30"/>
      <c r="E259" s="30"/>
      <c r="F259" s="30"/>
      <c r="G259" s="30"/>
      <c r="H259" s="30"/>
      <c r="I259" s="30"/>
      <c r="J259" s="30"/>
      <c r="K259" s="30"/>
      <c r="L259" s="30"/>
      <c r="M259" s="30"/>
      <c r="N259" s="30"/>
      <c r="R259" s="240"/>
    </row>
    <row r="260">
      <c r="A260" s="30"/>
      <c r="B260" s="249"/>
      <c r="C260" s="249"/>
      <c r="D260" s="30"/>
      <c r="E260" s="30"/>
      <c r="F260" s="30"/>
      <c r="G260" s="30"/>
      <c r="H260" s="30"/>
      <c r="I260" s="30"/>
      <c r="J260" s="30"/>
      <c r="K260" s="30"/>
      <c r="L260" s="30"/>
      <c r="M260" s="30"/>
      <c r="N260" s="30"/>
      <c r="R260" s="240"/>
    </row>
    <row r="261">
      <c r="A261" s="30"/>
      <c r="B261" s="249"/>
      <c r="C261" s="249"/>
      <c r="D261" s="30"/>
      <c r="E261" s="30"/>
      <c r="F261" s="30"/>
      <c r="G261" s="30"/>
      <c r="H261" s="30"/>
      <c r="I261" s="30"/>
      <c r="J261" s="30"/>
      <c r="K261" s="30"/>
      <c r="L261" s="30"/>
      <c r="M261" s="30"/>
      <c r="N261" s="30"/>
      <c r="R261" s="240"/>
    </row>
    <row r="262">
      <c r="A262" s="30"/>
      <c r="B262" s="249"/>
      <c r="C262" s="249"/>
      <c r="D262" s="30"/>
      <c r="E262" s="30"/>
      <c r="F262" s="30"/>
      <c r="G262" s="30"/>
      <c r="H262" s="30"/>
      <c r="I262" s="30"/>
      <c r="J262" s="30"/>
      <c r="K262" s="30"/>
      <c r="L262" s="30"/>
      <c r="M262" s="30"/>
      <c r="N262" s="30"/>
      <c r="R262" s="240"/>
    </row>
    <row r="263">
      <c r="A263" s="30"/>
      <c r="B263" s="249"/>
      <c r="C263" s="249"/>
      <c r="D263" s="30"/>
      <c r="E263" s="30"/>
      <c r="F263" s="30"/>
      <c r="G263" s="30"/>
      <c r="H263" s="30"/>
      <c r="I263" s="30"/>
      <c r="J263" s="30"/>
      <c r="K263" s="30"/>
      <c r="L263" s="30"/>
      <c r="M263" s="30"/>
      <c r="N263" s="30"/>
      <c r="R263" s="240"/>
    </row>
    <row r="264">
      <c r="A264" s="30"/>
      <c r="B264" s="249"/>
      <c r="C264" s="249"/>
      <c r="D264" s="30"/>
      <c r="E264" s="30"/>
      <c r="F264" s="30"/>
      <c r="G264" s="30"/>
      <c r="H264" s="30"/>
      <c r="I264" s="30"/>
      <c r="J264" s="30"/>
      <c r="K264" s="30"/>
      <c r="L264" s="30"/>
      <c r="M264" s="30"/>
      <c r="N264" s="30"/>
      <c r="R264" s="240"/>
    </row>
    <row r="265">
      <c r="A265" s="30"/>
      <c r="B265" s="249"/>
      <c r="C265" s="249"/>
      <c r="D265" s="30"/>
      <c r="E265" s="30"/>
      <c r="F265" s="30"/>
      <c r="G265" s="30"/>
      <c r="H265" s="30"/>
      <c r="I265" s="30"/>
      <c r="J265" s="30"/>
      <c r="K265" s="30"/>
      <c r="L265" s="30"/>
      <c r="M265" s="30"/>
      <c r="N265" s="30"/>
      <c r="R265" s="240"/>
    </row>
    <row r="266">
      <c r="A266" s="30"/>
      <c r="B266" s="249"/>
      <c r="C266" s="249"/>
      <c r="D266" s="30"/>
      <c r="E266" s="30"/>
      <c r="F266" s="30"/>
      <c r="G266" s="30"/>
      <c r="H266" s="30"/>
      <c r="I266" s="30"/>
      <c r="J266" s="30"/>
      <c r="K266" s="30"/>
      <c r="L266" s="30"/>
      <c r="M266" s="30"/>
      <c r="N266" s="30"/>
      <c r="R266" s="240"/>
    </row>
    <row r="267">
      <c r="A267" s="30"/>
      <c r="B267" s="249"/>
      <c r="C267" s="249"/>
      <c r="D267" s="30"/>
      <c r="E267" s="30"/>
      <c r="F267" s="30"/>
      <c r="G267" s="30"/>
      <c r="H267" s="30"/>
      <c r="I267" s="30"/>
      <c r="J267" s="30"/>
      <c r="K267" s="30"/>
      <c r="L267" s="30"/>
      <c r="M267" s="30"/>
      <c r="N267" s="30"/>
      <c r="R267" s="240"/>
    </row>
    <row r="268">
      <c r="A268" s="30"/>
      <c r="B268" s="249"/>
      <c r="C268" s="249"/>
      <c r="D268" s="30"/>
      <c r="E268" s="30"/>
      <c r="F268" s="30"/>
      <c r="G268" s="30"/>
      <c r="H268" s="30"/>
      <c r="I268" s="30"/>
      <c r="J268" s="30"/>
      <c r="K268" s="30"/>
      <c r="L268" s="30"/>
      <c r="M268" s="30"/>
      <c r="N268" s="30"/>
      <c r="R268" s="240"/>
    </row>
    <row r="269">
      <c r="A269" s="30"/>
      <c r="B269" s="249"/>
      <c r="C269" s="249"/>
      <c r="D269" s="30"/>
      <c r="E269" s="30"/>
      <c r="F269" s="30"/>
      <c r="G269" s="30"/>
      <c r="H269" s="30"/>
      <c r="I269" s="30"/>
      <c r="J269" s="30"/>
      <c r="K269" s="30"/>
      <c r="L269" s="30"/>
      <c r="M269" s="30"/>
      <c r="N269" s="30"/>
      <c r="R269" s="240"/>
    </row>
    <row r="270">
      <c r="A270" s="30"/>
      <c r="B270" s="249"/>
      <c r="C270" s="249"/>
      <c r="D270" s="30"/>
      <c r="E270" s="30"/>
      <c r="F270" s="30"/>
      <c r="G270" s="30"/>
      <c r="H270" s="30"/>
      <c r="I270" s="30"/>
      <c r="J270" s="30"/>
      <c r="K270" s="30"/>
      <c r="L270" s="30"/>
      <c r="M270" s="30"/>
      <c r="N270" s="30"/>
      <c r="R270" s="240"/>
    </row>
    <row r="271">
      <c r="A271" s="30"/>
      <c r="B271" s="249"/>
      <c r="C271" s="249"/>
      <c r="D271" s="30"/>
      <c r="E271" s="30"/>
      <c r="F271" s="30"/>
      <c r="G271" s="30"/>
      <c r="H271" s="30"/>
      <c r="I271" s="30"/>
      <c r="J271" s="30"/>
      <c r="K271" s="30"/>
      <c r="L271" s="30"/>
      <c r="M271" s="30"/>
      <c r="N271" s="30"/>
      <c r="R271" s="240"/>
    </row>
    <row r="272">
      <c r="A272" s="30"/>
      <c r="B272" s="249"/>
      <c r="C272" s="249"/>
      <c r="D272" s="30"/>
      <c r="E272" s="30"/>
      <c r="F272" s="30"/>
      <c r="G272" s="30"/>
      <c r="H272" s="30"/>
      <c r="I272" s="30"/>
      <c r="J272" s="30"/>
      <c r="K272" s="30"/>
      <c r="L272" s="30"/>
      <c r="M272" s="30"/>
      <c r="N272" s="30"/>
      <c r="R272" s="240"/>
    </row>
    <row r="273">
      <c r="A273" s="30"/>
      <c r="B273" s="249"/>
      <c r="C273" s="249"/>
      <c r="D273" s="30"/>
      <c r="E273" s="30"/>
      <c r="F273" s="30"/>
      <c r="G273" s="30"/>
      <c r="H273" s="30"/>
      <c r="I273" s="30"/>
      <c r="J273" s="30"/>
      <c r="K273" s="30"/>
      <c r="L273" s="30"/>
      <c r="M273" s="30"/>
      <c r="N273" s="30"/>
      <c r="R273" s="240"/>
    </row>
    <row r="274">
      <c r="A274" s="30"/>
      <c r="B274" s="249"/>
      <c r="C274" s="249"/>
      <c r="D274" s="30"/>
      <c r="E274" s="30"/>
      <c r="F274" s="30"/>
      <c r="G274" s="30"/>
      <c r="H274" s="30"/>
      <c r="I274" s="30"/>
      <c r="J274" s="30"/>
      <c r="K274" s="30"/>
      <c r="L274" s="30"/>
      <c r="M274" s="30"/>
      <c r="N274" s="30"/>
      <c r="R274" s="240"/>
    </row>
    <row r="275">
      <c r="A275" s="30"/>
      <c r="B275" s="249"/>
      <c r="C275" s="249"/>
      <c r="D275" s="30"/>
      <c r="E275" s="30"/>
      <c r="F275" s="30"/>
      <c r="G275" s="30"/>
      <c r="H275" s="30"/>
      <c r="I275" s="30"/>
      <c r="J275" s="30"/>
      <c r="K275" s="30"/>
      <c r="L275" s="30"/>
      <c r="M275" s="30"/>
      <c r="N275" s="30"/>
      <c r="R275" s="240"/>
    </row>
    <row r="276">
      <c r="A276" s="30"/>
      <c r="B276" s="249"/>
      <c r="C276" s="249"/>
      <c r="D276" s="30"/>
      <c r="E276" s="30"/>
      <c r="F276" s="30"/>
      <c r="G276" s="30"/>
      <c r="H276" s="30"/>
      <c r="I276" s="30"/>
      <c r="J276" s="30"/>
      <c r="K276" s="30"/>
      <c r="L276" s="30"/>
      <c r="M276" s="30"/>
      <c r="N276" s="30"/>
      <c r="R276" s="240"/>
    </row>
    <row r="277">
      <c r="A277" s="30"/>
      <c r="B277" s="249"/>
      <c r="C277" s="249"/>
      <c r="D277" s="30"/>
      <c r="E277" s="30"/>
      <c r="F277" s="30"/>
      <c r="G277" s="30"/>
      <c r="H277" s="30"/>
      <c r="I277" s="30"/>
      <c r="J277" s="30"/>
      <c r="K277" s="30"/>
      <c r="L277" s="30"/>
      <c r="M277" s="30"/>
      <c r="N277" s="30"/>
      <c r="R277" s="240"/>
    </row>
    <row r="278">
      <c r="A278" s="30"/>
      <c r="B278" s="249"/>
      <c r="C278" s="249"/>
      <c r="D278" s="30"/>
      <c r="E278" s="30"/>
      <c r="F278" s="30"/>
      <c r="G278" s="30"/>
      <c r="H278" s="30"/>
      <c r="I278" s="30"/>
      <c r="J278" s="30"/>
      <c r="K278" s="30"/>
      <c r="L278" s="30"/>
      <c r="M278" s="30"/>
      <c r="N278" s="30"/>
      <c r="R278" s="240"/>
    </row>
    <row r="279">
      <c r="A279" s="30"/>
      <c r="B279" s="249"/>
      <c r="C279" s="249"/>
      <c r="D279" s="30"/>
      <c r="E279" s="30"/>
      <c r="F279" s="30"/>
      <c r="G279" s="30"/>
      <c r="H279" s="30"/>
      <c r="I279" s="30"/>
      <c r="J279" s="30"/>
      <c r="K279" s="30"/>
      <c r="L279" s="30"/>
      <c r="M279" s="30"/>
      <c r="N279" s="30"/>
      <c r="R279" s="240"/>
    </row>
    <row r="280">
      <c r="A280" s="30"/>
      <c r="B280" s="249"/>
      <c r="C280" s="249"/>
      <c r="D280" s="30"/>
      <c r="E280" s="30"/>
      <c r="F280" s="30"/>
      <c r="G280" s="30"/>
      <c r="H280" s="30"/>
      <c r="I280" s="30"/>
      <c r="J280" s="30"/>
      <c r="K280" s="30"/>
      <c r="L280" s="30"/>
      <c r="M280" s="30"/>
      <c r="N280" s="30"/>
      <c r="R280" s="240"/>
    </row>
    <row r="281">
      <c r="A281" s="30"/>
      <c r="B281" s="249"/>
      <c r="C281" s="249"/>
      <c r="D281" s="30"/>
      <c r="E281" s="30"/>
      <c r="F281" s="30"/>
      <c r="G281" s="30"/>
      <c r="H281" s="30"/>
      <c r="I281" s="30"/>
      <c r="J281" s="30"/>
      <c r="K281" s="30"/>
      <c r="L281" s="30"/>
      <c r="M281" s="30"/>
      <c r="N281" s="30"/>
      <c r="R281" s="240"/>
    </row>
    <row r="282">
      <c r="A282" s="30"/>
      <c r="B282" s="249"/>
      <c r="C282" s="249"/>
      <c r="D282" s="30"/>
      <c r="E282" s="30"/>
      <c r="F282" s="30"/>
      <c r="G282" s="30"/>
      <c r="H282" s="30"/>
      <c r="I282" s="30"/>
      <c r="J282" s="30"/>
      <c r="K282" s="30"/>
      <c r="L282" s="30"/>
      <c r="M282" s="30"/>
      <c r="N282" s="30"/>
      <c r="R282" s="240"/>
    </row>
    <row r="283">
      <c r="A283" s="30"/>
      <c r="B283" s="249"/>
      <c r="C283" s="249"/>
      <c r="D283" s="30"/>
      <c r="E283" s="30"/>
      <c r="F283" s="30"/>
      <c r="G283" s="30"/>
      <c r="H283" s="30"/>
      <c r="I283" s="30"/>
      <c r="J283" s="30"/>
      <c r="K283" s="30"/>
      <c r="L283" s="30"/>
      <c r="M283" s="30"/>
      <c r="N283" s="30"/>
      <c r="R283" s="240"/>
    </row>
    <row r="284">
      <c r="A284" s="30"/>
      <c r="B284" s="249"/>
      <c r="C284" s="249"/>
      <c r="D284" s="30"/>
      <c r="E284" s="30"/>
      <c r="F284" s="30"/>
      <c r="G284" s="30"/>
      <c r="H284" s="30"/>
      <c r="I284" s="30"/>
      <c r="J284" s="30"/>
      <c r="K284" s="30"/>
      <c r="L284" s="30"/>
      <c r="M284" s="30"/>
      <c r="N284" s="30"/>
      <c r="R284" s="240"/>
    </row>
    <row r="285">
      <c r="A285" s="30"/>
      <c r="B285" s="249"/>
      <c r="C285" s="249"/>
      <c r="D285" s="30"/>
      <c r="E285" s="30"/>
      <c r="F285" s="30"/>
      <c r="G285" s="30"/>
      <c r="H285" s="30"/>
      <c r="I285" s="30"/>
      <c r="J285" s="30"/>
      <c r="K285" s="30"/>
      <c r="L285" s="30"/>
      <c r="M285" s="30"/>
      <c r="N285" s="30"/>
      <c r="R285" s="240"/>
    </row>
    <row r="286">
      <c r="A286" s="30"/>
      <c r="B286" s="249"/>
      <c r="C286" s="249"/>
      <c r="D286" s="30"/>
      <c r="E286" s="30"/>
      <c r="F286" s="30"/>
      <c r="G286" s="30"/>
      <c r="H286" s="30"/>
      <c r="I286" s="30"/>
      <c r="J286" s="30"/>
      <c r="K286" s="30"/>
      <c r="L286" s="30"/>
      <c r="M286" s="30"/>
      <c r="N286" s="30"/>
      <c r="R286" s="240"/>
    </row>
    <row r="287">
      <c r="A287" s="30"/>
      <c r="B287" s="249"/>
      <c r="C287" s="249"/>
      <c r="D287" s="30"/>
      <c r="E287" s="30"/>
      <c r="F287" s="30"/>
      <c r="G287" s="30"/>
      <c r="H287" s="30"/>
      <c r="I287" s="30"/>
      <c r="J287" s="30"/>
      <c r="K287" s="30"/>
      <c r="L287" s="30"/>
      <c r="M287" s="30"/>
      <c r="N287" s="30"/>
      <c r="R287" s="240"/>
    </row>
    <row r="288">
      <c r="A288" s="30"/>
      <c r="B288" s="249"/>
      <c r="C288" s="249"/>
      <c r="D288" s="30"/>
      <c r="E288" s="30"/>
      <c r="F288" s="30"/>
      <c r="G288" s="30"/>
      <c r="H288" s="30"/>
      <c r="I288" s="30"/>
      <c r="J288" s="30"/>
      <c r="K288" s="30"/>
      <c r="L288" s="30"/>
      <c r="M288" s="30"/>
      <c r="N288" s="30"/>
      <c r="R288" s="240"/>
    </row>
    <row r="289">
      <c r="A289" s="30"/>
      <c r="B289" s="249"/>
      <c r="C289" s="249"/>
      <c r="D289" s="30"/>
      <c r="E289" s="30"/>
      <c r="F289" s="30"/>
      <c r="G289" s="30"/>
      <c r="H289" s="30"/>
      <c r="I289" s="30"/>
      <c r="J289" s="30"/>
      <c r="K289" s="30"/>
      <c r="L289" s="30"/>
      <c r="M289" s="30"/>
      <c r="N289" s="30"/>
      <c r="R289" s="240"/>
    </row>
    <row r="290">
      <c r="A290" s="30"/>
      <c r="B290" s="249"/>
      <c r="C290" s="249"/>
      <c r="D290" s="30"/>
      <c r="E290" s="30"/>
      <c r="F290" s="30"/>
      <c r="G290" s="30"/>
      <c r="H290" s="30"/>
      <c r="I290" s="30"/>
      <c r="J290" s="30"/>
      <c r="K290" s="30"/>
      <c r="L290" s="30"/>
      <c r="M290" s="30"/>
      <c r="N290" s="30"/>
      <c r="R290" s="240"/>
    </row>
    <row r="291">
      <c r="A291" s="30"/>
      <c r="B291" s="249"/>
      <c r="C291" s="249"/>
      <c r="D291" s="30"/>
      <c r="E291" s="30"/>
      <c r="F291" s="30"/>
      <c r="G291" s="30"/>
      <c r="H291" s="30"/>
      <c r="I291" s="30"/>
      <c r="J291" s="30"/>
      <c r="K291" s="30"/>
      <c r="L291" s="30"/>
      <c r="M291" s="30"/>
      <c r="N291" s="30"/>
      <c r="R291" s="240"/>
    </row>
    <row r="292">
      <c r="A292" s="30"/>
      <c r="B292" s="249"/>
      <c r="C292" s="249"/>
      <c r="D292" s="30"/>
      <c r="E292" s="30"/>
      <c r="F292" s="30"/>
      <c r="G292" s="30"/>
      <c r="H292" s="30"/>
      <c r="I292" s="30"/>
      <c r="J292" s="30"/>
      <c r="K292" s="30"/>
      <c r="L292" s="30"/>
      <c r="M292" s="30"/>
      <c r="N292" s="30"/>
      <c r="R292" s="240"/>
    </row>
    <row r="293">
      <c r="A293" s="30"/>
      <c r="B293" s="249"/>
      <c r="C293" s="249"/>
      <c r="D293" s="30"/>
      <c r="E293" s="30"/>
      <c r="F293" s="30"/>
      <c r="G293" s="30"/>
      <c r="H293" s="30"/>
      <c r="I293" s="30"/>
      <c r="J293" s="30"/>
      <c r="K293" s="30"/>
      <c r="L293" s="30"/>
      <c r="M293" s="30"/>
      <c r="N293" s="30"/>
      <c r="R293" s="240"/>
    </row>
    <row r="294">
      <c r="A294" s="30"/>
      <c r="B294" s="249"/>
      <c r="C294" s="249"/>
      <c r="D294" s="30"/>
      <c r="E294" s="30"/>
      <c r="F294" s="30"/>
      <c r="G294" s="30"/>
      <c r="H294" s="30"/>
      <c r="I294" s="30"/>
      <c r="J294" s="30"/>
      <c r="K294" s="30"/>
      <c r="L294" s="30"/>
      <c r="M294" s="30"/>
      <c r="N294" s="30"/>
      <c r="R294" s="240"/>
    </row>
    <row r="295">
      <c r="A295" s="30"/>
      <c r="B295" s="249"/>
      <c r="C295" s="249"/>
      <c r="D295" s="30"/>
      <c r="E295" s="30"/>
      <c r="F295" s="30"/>
      <c r="G295" s="30"/>
      <c r="H295" s="30"/>
      <c r="I295" s="30"/>
      <c r="J295" s="30"/>
      <c r="K295" s="30"/>
      <c r="L295" s="30"/>
      <c r="M295" s="30"/>
      <c r="N295" s="30"/>
      <c r="R295" s="240"/>
    </row>
    <row r="296">
      <c r="A296" s="30"/>
      <c r="B296" s="249"/>
      <c r="C296" s="249"/>
      <c r="D296" s="30"/>
      <c r="E296" s="30"/>
      <c r="F296" s="30"/>
      <c r="G296" s="30"/>
      <c r="H296" s="30"/>
      <c r="I296" s="30"/>
      <c r="J296" s="30"/>
      <c r="K296" s="30"/>
      <c r="L296" s="30"/>
      <c r="M296" s="30"/>
      <c r="N296" s="30"/>
      <c r="R296" s="240"/>
    </row>
    <row r="297">
      <c r="A297" s="30"/>
      <c r="B297" s="249"/>
      <c r="C297" s="249"/>
      <c r="D297" s="30"/>
      <c r="E297" s="30"/>
      <c r="F297" s="30"/>
      <c r="G297" s="30"/>
      <c r="H297" s="30"/>
      <c r="I297" s="30"/>
      <c r="J297" s="30"/>
      <c r="K297" s="30"/>
      <c r="L297" s="30"/>
      <c r="M297" s="30"/>
      <c r="N297" s="30"/>
      <c r="R297" s="240"/>
    </row>
    <row r="298">
      <c r="A298" s="30"/>
      <c r="B298" s="249"/>
      <c r="C298" s="249"/>
      <c r="D298" s="30"/>
      <c r="E298" s="30"/>
      <c r="F298" s="30"/>
      <c r="G298" s="30"/>
      <c r="H298" s="30"/>
      <c r="I298" s="30"/>
      <c r="J298" s="30"/>
      <c r="K298" s="30"/>
      <c r="L298" s="30"/>
      <c r="M298" s="30"/>
      <c r="N298" s="30"/>
      <c r="R298" s="240"/>
    </row>
    <row r="299">
      <c r="A299" s="30"/>
      <c r="B299" s="249"/>
      <c r="C299" s="249"/>
      <c r="D299" s="30"/>
      <c r="E299" s="30"/>
      <c r="F299" s="30"/>
      <c r="G299" s="30"/>
      <c r="H299" s="30"/>
      <c r="I299" s="30"/>
      <c r="J299" s="30"/>
      <c r="K299" s="30"/>
      <c r="L299" s="30"/>
      <c r="M299" s="30"/>
      <c r="N299" s="30"/>
      <c r="R299" s="240"/>
    </row>
    <row r="300">
      <c r="A300" s="30"/>
      <c r="B300" s="249"/>
      <c r="C300" s="249"/>
      <c r="D300" s="30"/>
      <c r="E300" s="30"/>
      <c r="F300" s="30"/>
      <c r="G300" s="30"/>
      <c r="H300" s="30"/>
      <c r="I300" s="30"/>
      <c r="J300" s="30"/>
      <c r="K300" s="30"/>
      <c r="L300" s="30"/>
      <c r="M300" s="30"/>
      <c r="N300" s="30"/>
      <c r="R300" s="240"/>
    </row>
    <row r="301">
      <c r="A301" s="30"/>
      <c r="B301" s="249"/>
      <c r="C301" s="249"/>
      <c r="D301" s="30"/>
      <c r="E301" s="30"/>
      <c r="F301" s="30"/>
      <c r="G301" s="30"/>
      <c r="H301" s="30"/>
      <c r="I301" s="30"/>
      <c r="J301" s="30"/>
      <c r="K301" s="30"/>
      <c r="L301" s="30"/>
      <c r="M301" s="30"/>
      <c r="N301" s="30"/>
      <c r="R301" s="240"/>
    </row>
    <row r="302">
      <c r="A302" s="30"/>
      <c r="B302" s="249"/>
      <c r="C302" s="249"/>
      <c r="D302" s="30"/>
      <c r="E302" s="30"/>
      <c r="F302" s="30"/>
      <c r="G302" s="30"/>
      <c r="H302" s="30"/>
      <c r="I302" s="30"/>
      <c r="J302" s="30"/>
      <c r="K302" s="30"/>
      <c r="L302" s="30"/>
      <c r="M302" s="30"/>
      <c r="N302" s="30"/>
      <c r="R302" s="240"/>
    </row>
    <row r="303">
      <c r="A303" s="30"/>
      <c r="B303" s="249"/>
      <c r="C303" s="249"/>
      <c r="D303" s="30"/>
      <c r="E303" s="30"/>
      <c r="F303" s="30"/>
      <c r="G303" s="30"/>
      <c r="H303" s="30"/>
      <c r="I303" s="30"/>
      <c r="J303" s="30"/>
      <c r="K303" s="30"/>
      <c r="L303" s="30"/>
      <c r="M303" s="30"/>
      <c r="N303" s="30"/>
      <c r="R303" s="240"/>
    </row>
    <row r="304">
      <c r="A304" s="30"/>
      <c r="B304" s="249"/>
      <c r="C304" s="249"/>
      <c r="D304" s="30"/>
      <c r="E304" s="30"/>
      <c r="F304" s="30"/>
      <c r="G304" s="30"/>
      <c r="H304" s="30"/>
      <c r="I304" s="30"/>
      <c r="J304" s="30"/>
      <c r="K304" s="30"/>
      <c r="L304" s="30"/>
      <c r="M304" s="30"/>
      <c r="N304" s="30"/>
      <c r="R304" s="240"/>
    </row>
    <row r="305">
      <c r="A305" s="30"/>
      <c r="B305" s="249"/>
      <c r="C305" s="249"/>
      <c r="D305" s="30"/>
      <c r="E305" s="30"/>
      <c r="F305" s="30"/>
      <c r="G305" s="30"/>
      <c r="H305" s="30"/>
      <c r="I305" s="30"/>
      <c r="J305" s="30"/>
      <c r="K305" s="30"/>
      <c r="L305" s="30"/>
      <c r="M305" s="30"/>
      <c r="N305" s="30"/>
      <c r="R305" s="240"/>
    </row>
    <row r="306">
      <c r="A306" s="30"/>
      <c r="B306" s="249"/>
      <c r="C306" s="249"/>
      <c r="D306" s="30"/>
      <c r="E306" s="30"/>
      <c r="F306" s="30"/>
      <c r="G306" s="30"/>
      <c r="H306" s="30"/>
      <c r="I306" s="30"/>
      <c r="J306" s="30"/>
      <c r="K306" s="30"/>
      <c r="L306" s="30"/>
      <c r="M306" s="30"/>
      <c r="N306" s="30"/>
      <c r="R306" s="240"/>
    </row>
    <row r="307">
      <c r="A307" s="30"/>
      <c r="B307" s="249"/>
      <c r="C307" s="249"/>
      <c r="D307" s="30"/>
      <c r="E307" s="30"/>
      <c r="F307" s="30"/>
      <c r="G307" s="30"/>
      <c r="H307" s="30"/>
      <c r="I307" s="30"/>
      <c r="J307" s="30"/>
      <c r="K307" s="30"/>
      <c r="L307" s="30"/>
      <c r="M307" s="30"/>
      <c r="N307" s="30"/>
      <c r="R307" s="240"/>
    </row>
    <row r="308">
      <c r="A308" s="30"/>
      <c r="B308" s="249"/>
      <c r="C308" s="249"/>
      <c r="D308" s="30"/>
      <c r="E308" s="30"/>
      <c r="F308" s="30"/>
      <c r="G308" s="30"/>
      <c r="H308" s="30"/>
      <c r="I308" s="30"/>
      <c r="J308" s="30"/>
      <c r="K308" s="30"/>
      <c r="L308" s="30"/>
      <c r="M308" s="30"/>
      <c r="N308" s="30"/>
      <c r="R308" s="240"/>
    </row>
    <row r="309">
      <c r="A309" s="30"/>
      <c r="B309" s="249"/>
      <c r="C309" s="249"/>
      <c r="D309" s="30"/>
      <c r="E309" s="30"/>
      <c r="F309" s="30"/>
      <c r="G309" s="30"/>
      <c r="H309" s="30"/>
      <c r="I309" s="30"/>
      <c r="J309" s="30"/>
      <c r="K309" s="30"/>
      <c r="L309" s="30"/>
      <c r="M309" s="30"/>
      <c r="N309" s="30"/>
      <c r="R309" s="240"/>
    </row>
    <row r="310">
      <c r="A310" s="30"/>
      <c r="B310" s="249"/>
      <c r="C310" s="249"/>
      <c r="D310" s="30"/>
      <c r="E310" s="30"/>
      <c r="F310" s="30"/>
      <c r="G310" s="30"/>
      <c r="H310" s="30"/>
      <c r="I310" s="30"/>
      <c r="J310" s="30"/>
      <c r="K310" s="30"/>
      <c r="L310" s="30"/>
      <c r="M310" s="30"/>
      <c r="N310" s="30"/>
      <c r="R310" s="240"/>
    </row>
    <row r="311">
      <c r="A311" s="30"/>
      <c r="B311" s="249"/>
      <c r="C311" s="249"/>
      <c r="D311" s="30"/>
      <c r="E311" s="30"/>
      <c r="F311" s="30"/>
      <c r="G311" s="30"/>
      <c r="H311" s="30"/>
      <c r="I311" s="30"/>
      <c r="J311" s="30"/>
      <c r="K311" s="30"/>
      <c r="L311" s="30"/>
      <c r="M311" s="30"/>
      <c r="N311" s="30"/>
      <c r="R311" s="240"/>
    </row>
    <row r="312">
      <c r="A312" s="30"/>
      <c r="B312" s="249"/>
      <c r="C312" s="249"/>
      <c r="D312" s="30"/>
      <c r="E312" s="30"/>
      <c r="F312" s="30"/>
      <c r="G312" s="30"/>
      <c r="H312" s="30"/>
      <c r="I312" s="30"/>
      <c r="J312" s="30"/>
      <c r="K312" s="30"/>
      <c r="L312" s="30"/>
      <c r="M312" s="30"/>
      <c r="N312" s="30"/>
      <c r="R312" s="240"/>
    </row>
    <row r="313">
      <c r="A313" s="30"/>
      <c r="B313" s="249"/>
      <c r="C313" s="249"/>
      <c r="D313" s="30"/>
      <c r="E313" s="30"/>
      <c r="F313" s="30"/>
      <c r="G313" s="30"/>
      <c r="H313" s="30"/>
      <c r="I313" s="30"/>
      <c r="J313" s="30"/>
      <c r="K313" s="30"/>
      <c r="L313" s="30"/>
      <c r="M313" s="30"/>
      <c r="N313" s="30"/>
      <c r="R313" s="240"/>
    </row>
    <row r="314">
      <c r="A314" s="30"/>
      <c r="B314" s="249"/>
      <c r="C314" s="249"/>
      <c r="D314" s="30"/>
      <c r="E314" s="30"/>
      <c r="F314" s="30"/>
      <c r="G314" s="30"/>
      <c r="H314" s="30"/>
      <c r="I314" s="30"/>
      <c r="J314" s="30"/>
      <c r="K314" s="30"/>
      <c r="L314" s="30"/>
      <c r="M314" s="30"/>
      <c r="N314" s="30"/>
      <c r="R314" s="240"/>
    </row>
    <row r="315">
      <c r="A315" s="30"/>
      <c r="B315" s="249"/>
      <c r="C315" s="249"/>
      <c r="D315" s="30"/>
      <c r="E315" s="30"/>
      <c r="F315" s="30"/>
      <c r="G315" s="30"/>
      <c r="H315" s="30"/>
      <c r="I315" s="30"/>
      <c r="J315" s="30"/>
      <c r="K315" s="30"/>
      <c r="L315" s="30"/>
      <c r="M315" s="30"/>
      <c r="N315" s="30"/>
      <c r="R315" s="240"/>
    </row>
    <row r="316">
      <c r="A316" s="30"/>
      <c r="B316" s="249"/>
      <c r="C316" s="249"/>
      <c r="D316" s="30"/>
      <c r="E316" s="30"/>
      <c r="F316" s="30"/>
      <c r="G316" s="30"/>
      <c r="H316" s="30"/>
      <c r="I316" s="30"/>
      <c r="J316" s="30"/>
      <c r="K316" s="30"/>
      <c r="L316" s="30"/>
      <c r="M316" s="30"/>
      <c r="N316" s="30"/>
      <c r="R316" s="240"/>
    </row>
    <row r="317">
      <c r="A317" s="30"/>
      <c r="B317" s="249"/>
      <c r="C317" s="249"/>
      <c r="D317" s="30"/>
      <c r="E317" s="30"/>
      <c r="F317" s="30"/>
      <c r="G317" s="30"/>
      <c r="H317" s="30"/>
      <c r="I317" s="30"/>
      <c r="J317" s="30"/>
      <c r="K317" s="30"/>
      <c r="L317" s="30"/>
      <c r="M317" s="30"/>
      <c r="N317" s="30"/>
      <c r="R317" s="240"/>
    </row>
    <row r="318">
      <c r="A318" s="30"/>
      <c r="B318" s="249"/>
      <c r="C318" s="249"/>
      <c r="D318" s="30"/>
      <c r="E318" s="30"/>
      <c r="F318" s="30"/>
      <c r="G318" s="30"/>
      <c r="H318" s="30"/>
      <c r="I318" s="30"/>
      <c r="J318" s="30"/>
      <c r="K318" s="30"/>
      <c r="L318" s="30"/>
      <c r="M318" s="30"/>
      <c r="N318" s="30"/>
      <c r="R318" s="240"/>
    </row>
    <row r="319">
      <c r="A319" s="30"/>
      <c r="B319" s="249"/>
      <c r="C319" s="249"/>
      <c r="D319" s="30"/>
      <c r="E319" s="30"/>
      <c r="F319" s="30"/>
      <c r="G319" s="30"/>
      <c r="H319" s="30"/>
      <c r="I319" s="30"/>
      <c r="J319" s="30"/>
      <c r="K319" s="30"/>
      <c r="L319" s="30"/>
      <c r="M319" s="30"/>
      <c r="N319" s="30"/>
      <c r="R319" s="240"/>
    </row>
    <row r="320">
      <c r="A320" s="30"/>
      <c r="B320" s="249"/>
      <c r="C320" s="249"/>
      <c r="D320" s="30"/>
      <c r="E320" s="30"/>
      <c r="F320" s="30"/>
      <c r="G320" s="30"/>
      <c r="H320" s="30"/>
      <c r="I320" s="30"/>
      <c r="J320" s="30"/>
      <c r="K320" s="30"/>
      <c r="L320" s="30"/>
      <c r="M320" s="30"/>
      <c r="N320" s="30"/>
      <c r="R320" s="240"/>
    </row>
    <row r="321">
      <c r="A321" s="30"/>
      <c r="B321" s="249"/>
      <c r="C321" s="249"/>
      <c r="D321" s="30"/>
      <c r="E321" s="30"/>
      <c r="F321" s="30"/>
      <c r="G321" s="30"/>
      <c r="H321" s="30"/>
      <c r="I321" s="30"/>
      <c r="J321" s="30"/>
      <c r="K321" s="30"/>
      <c r="L321" s="30"/>
      <c r="M321" s="30"/>
      <c r="N321" s="30"/>
      <c r="R321" s="240"/>
    </row>
    <row r="322">
      <c r="A322" s="30"/>
      <c r="B322" s="249"/>
      <c r="C322" s="249"/>
      <c r="D322" s="30"/>
      <c r="E322" s="30"/>
      <c r="F322" s="30"/>
      <c r="G322" s="30"/>
      <c r="H322" s="30"/>
      <c r="I322" s="30"/>
      <c r="J322" s="30"/>
      <c r="K322" s="30"/>
      <c r="L322" s="30"/>
      <c r="M322" s="30"/>
      <c r="N322" s="30"/>
      <c r="R322" s="240"/>
    </row>
    <row r="323">
      <c r="A323" s="30"/>
      <c r="B323" s="249"/>
      <c r="C323" s="249"/>
      <c r="D323" s="30"/>
      <c r="E323" s="30"/>
      <c r="F323" s="30"/>
      <c r="G323" s="30"/>
      <c r="H323" s="30"/>
      <c r="I323" s="30"/>
      <c r="J323" s="30"/>
      <c r="K323" s="30"/>
      <c r="L323" s="30"/>
      <c r="M323" s="30"/>
      <c r="N323" s="30"/>
      <c r="R323" s="240"/>
    </row>
    <row r="324">
      <c r="A324" s="30"/>
      <c r="B324" s="249"/>
      <c r="C324" s="249"/>
      <c r="D324" s="30"/>
      <c r="E324" s="30"/>
      <c r="F324" s="30"/>
      <c r="G324" s="30"/>
      <c r="H324" s="30"/>
      <c r="I324" s="30"/>
      <c r="J324" s="30"/>
      <c r="K324" s="30"/>
      <c r="L324" s="30"/>
      <c r="M324" s="30"/>
      <c r="N324" s="30"/>
      <c r="R324" s="240"/>
    </row>
    <row r="325">
      <c r="A325" s="30"/>
      <c r="B325" s="249"/>
      <c r="C325" s="249"/>
      <c r="D325" s="30"/>
      <c r="E325" s="30"/>
      <c r="F325" s="30"/>
      <c r="G325" s="30"/>
      <c r="H325" s="30"/>
      <c r="I325" s="30"/>
      <c r="J325" s="30"/>
      <c r="K325" s="30"/>
      <c r="L325" s="30"/>
      <c r="M325" s="30"/>
      <c r="N325" s="30"/>
      <c r="R325" s="240"/>
    </row>
    <row r="326">
      <c r="A326" s="30"/>
      <c r="B326" s="249"/>
      <c r="C326" s="249"/>
      <c r="D326" s="30"/>
      <c r="E326" s="30"/>
      <c r="F326" s="30"/>
      <c r="G326" s="30"/>
      <c r="H326" s="30"/>
      <c r="I326" s="30"/>
      <c r="J326" s="30"/>
      <c r="K326" s="30"/>
      <c r="L326" s="30"/>
      <c r="M326" s="30"/>
      <c r="N326" s="30"/>
      <c r="R326" s="240"/>
    </row>
    <row r="327">
      <c r="A327" s="30"/>
      <c r="B327" s="249"/>
      <c r="C327" s="249"/>
      <c r="D327" s="30"/>
      <c r="E327" s="30"/>
      <c r="F327" s="30"/>
      <c r="G327" s="30"/>
      <c r="H327" s="30"/>
      <c r="I327" s="30"/>
      <c r="J327" s="30"/>
      <c r="K327" s="30"/>
      <c r="L327" s="30"/>
      <c r="M327" s="30"/>
      <c r="N327" s="30"/>
      <c r="R327" s="240"/>
    </row>
    <row r="328">
      <c r="A328" s="30"/>
      <c r="B328" s="249"/>
      <c r="C328" s="249"/>
      <c r="D328" s="30"/>
      <c r="E328" s="30"/>
      <c r="F328" s="30"/>
      <c r="G328" s="30"/>
      <c r="H328" s="30"/>
      <c r="I328" s="30"/>
      <c r="J328" s="30"/>
      <c r="K328" s="30"/>
      <c r="L328" s="30"/>
      <c r="M328" s="30"/>
      <c r="N328" s="30"/>
      <c r="R328" s="240"/>
    </row>
    <row r="329">
      <c r="A329" s="30"/>
      <c r="B329" s="249"/>
      <c r="C329" s="249"/>
      <c r="D329" s="30"/>
      <c r="E329" s="30"/>
      <c r="F329" s="30"/>
      <c r="G329" s="30"/>
      <c r="H329" s="30"/>
      <c r="I329" s="30"/>
      <c r="J329" s="30"/>
      <c r="K329" s="30"/>
      <c r="L329" s="30"/>
      <c r="M329" s="30"/>
      <c r="N329" s="30"/>
      <c r="R329" s="240"/>
    </row>
    <row r="330">
      <c r="A330" s="30"/>
      <c r="B330" s="249"/>
      <c r="C330" s="249"/>
      <c r="D330" s="30"/>
      <c r="E330" s="30"/>
      <c r="F330" s="30"/>
      <c r="G330" s="30"/>
      <c r="H330" s="30"/>
      <c r="I330" s="30"/>
      <c r="J330" s="30"/>
      <c r="K330" s="30"/>
      <c r="L330" s="30"/>
      <c r="M330" s="30"/>
      <c r="N330" s="30"/>
      <c r="R330" s="240"/>
    </row>
    <row r="331">
      <c r="A331" s="30"/>
      <c r="B331" s="249"/>
      <c r="C331" s="249"/>
      <c r="D331" s="30"/>
      <c r="E331" s="30"/>
      <c r="F331" s="30"/>
      <c r="G331" s="30"/>
      <c r="H331" s="30"/>
      <c r="I331" s="30"/>
      <c r="J331" s="30"/>
      <c r="K331" s="30"/>
      <c r="L331" s="30"/>
      <c r="M331" s="30"/>
      <c r="N331" s="30"/>
      <c r="R331" s="240"/>
    </row>
    <row r="332">
      <c r="A332" s="30"/>
      <c r="B332" s="249"/>
      <c r="C332" s="249"/>
      <c r="D332" s="30"/>
      <c r="E332" s="30"/>
      <c r="F332" s="30"/>
      <c r="G332" s="30"/>
      <c r="H332" s="30"/>
      <c r="I332" s="30"/>
      <c r="J332" s="30"/>
      <c r="K332" s="30"/>
      <c r="L332" s="30"/>
      <c r="M332" s="30"/>
      <c r="N332" s="30"/>
      <c r="R332" s="240"/>
    </row>
    <row r="333">
      <c r="A333" s="30"/>
      <c r="B333" s="249"/>
      <c r="C333" s="249"/>
      <c r="D333" s="30"/>
      <c r="E333" s="30"/>
      <c r="F333" s="30"/>
      <c r="G333" s="30"/>
      <c r="H333" s="30"/>
      <c r="I333" s="30"/>
      <c r="J333" s="30"/>
      <c r="K333" s="30"/>
      <c r="L333" s="30"/>
      <c r="M333" s="30"/>
      <c r="N333" s="30"/>
      <c r="R333" s="240"/>
    </row>
    <row r="334">
      <c r="A334" s="30"/>
      <c r="B334" s="249"/>
      <c r="C334" s="249"/>
      <c r="D334" s="30"/>
      <c r="E334" s="30"/>
      <c r="F334" s="30"/>
      <c r="G334" s="30"/>
      <c r="H334" s="30"/>
      <c r="I334" s="30"/>
      <c r="J334" s="30"/>
      <c r="K334" s="30"/>
      <c r="L334" s="30"/>
      <c r="M334" s="30"/>
      <c r="N334" s="30"/>
      <c r="R334" s="240"/>
    </row>
    <row r="335">
      <c r="A335" s="30"/>
      <c r="B335" s="249"/>
      <c r="C335" s="249"/>
      <c r="D335" s="30"/>
      <c r="E335" s="30"/>
      <c r="F335" s="30"/>
      <c r="G335" s="30"/>
      <c r="H335" s="30"/>
      <c r="I335" s="30"/>
      <c r="J335" s="30"/>
      <c r="K335" s="30"/>
      <c r="L335" s="30"/>
      <c r="M335" s="30"/>
      <c r="N335" s="30"/>
      <c r="R335" s="240"/>
    </row>
    <row r="336">
      <c r="A336" s="30"/>
      <c r="B336" s="249"/>
      <c r="C336" s="249"/>
      <c r="D336" s="30"/>
      <c r="E336" s="30"/>
      <c r="F336" s="30"/>
      <c r="G336" s="30"/>
      <c r="H336" s="30"/>
      <c r="I336" s="30"/>
      <c r="J336" s="30"/>
      <c r="K336" s="30"/>
      <c r="L336" s="30"/>
      <c r="M336" s="30"/>
      <c r="N336" s="30"/>
      <c r="R336" s="240"/>
    </row>
    <row r="337">
      <c r="A337" s="30"/>
      <c r="B337" s="249"/>
      <c r="C337" s="249"/>
      <c r="D337" s="30"/>
      <c r="E337" s="30"/>
      <c r="F337" s="30"/>
      <c r="G337" s="30"/>
      <c r="H337" s="30"/>
      <c r="I337" s="30"/>
      <c r="J337" s="30"/>
      <c r="K337" s="30"/>
      <c r="L337" s="30"/>
      <c r="M337" s="30"/>
      <c r="N337" s="30"/>
      <c r="R337" s="240"/>
    </row>
    <row r="338">
      <c r="A338" s="30"/>
      <c r="B338" s="249"/>
      <c r="C338" s="249"/>
      <c r="D338" s="30"/>
      <c r="E338" s="30"/>
      <c r="F338" s="30"/>
      <c r="G338" s="30"/>
      <c r="H338" s="30"/>
      <c r="I338" s="30"/>
      <c r="J338" s="30"/>
      <c r="K338" s="30"/>
      <c r="L338" s="30"/>
      <c r="M338" s="30"/>
      <c r="N338" s="30"/>
      <c r="R338" s="240"/>
    </row>
    <row r="339">
      <c r="A339" s="30"/>
      <c r="B339" s="249"/>
      <c r="C339" s="249"/>
      <c r="D339" s="30"/>
      <c r="E339" s="30"/>
      <c r="F339" s="30"/>
      <c r="G339" s="30"/>
      <c r="H339" s="30"/>
      <c r="I339" s="30"/>
      <c r="J339" s="30"/>
      <c r="K339" s="30"/>
      <c r="L339" s="30"/>
      <c r="M339" s="30"/>
      <c r="N339" s="30"/>
      <c r="R339" s="240"/>
    </row>
    <row r="340">
      <c r="A340" s="30"/>
      <c r="B340" s="249"/>
      <c r="C340" s="249"/>
      <c r="D340" s="30"/>
      <c r="E340" s="30"/>
      <c r="F340" s="30"/>
      <c r="G340" s="30"/>
      <c r="H340" s="30"/>
      <c r="I340" s="30"/>
      <c r="J340" s="30"/>
      <c r="K340" s="30"/>
      <c r="L340" s="30"/>
      <c r="M340" s="30"/>
      <c r="N340" s="30"/>
      <c r="R340" s="240"/>
    </row>
    <row r="341">
      <c r="A341" s="30"/>
      <c r="B341" s="249"/>
      <c r="C341" s="249"/>
      <c r="D341" s="30"/>
      <c r="E341" s="30"/>
      <c r="F341" s="30"/>
      <c r="G341" s="30"/>
      <c r="H341" s="30"/>
      <c r="I341" s="30"/>
      <c r="J341" s="30"/>
      <c r="K341" s="30"/>
      <c r="L341" s="30"/>
      <c r="M341" s="30"/>
      <c r="N341" s="30"/>
      <c r="R341" s="240"/>
    </row>
    <row r="342">
      <c r="A342" s="30"/>
      <c r="B342" s="249"/>
      <c r="C342" s="249"/>
      <c r="D342" s="30"/>
      <c r="E342" s="30"/>
      <c r="F342" s="30"/>
      <c r="G342" s="30"/>
      <c r="H342" s="30"/>
      <c r="I342" s="30"/>
      <c r="J342" s="30"/>
      <c r="K342" s="30"/>
      <c r="L342" s="30"/>
      <c r="M342" s="30"/>
      <c r="N342" s="30"/>
      <c r="R342" s="240"/>
    </row>
    <row r="343">
      <c r="A343" s="30"/>
      <c r="B343" s="249"/>
      <c r="C343" s="249"/>
      <c r="D343" s="30"/>
      <c r="E343" s="30"/>
      <c r="F343" s="30"/>
      <c r="G343" s="30"/>
      <c r="H343" s="30"/>
      <c r="I343" s="30"/>
      <c r="J343" s="30"/>
      <c r="K343" s="30"/>
      <c r="L343" s="30"/>
      <c r="M343" s="30"/>
      <c r="N343" s="30"/>
      <c r="R343" s="240"/>
    </row>
    <row r="344">
      <c r="A344" s="30"/>
      <c r="B344" s="249"/>
      <c r="C344" s="249"/>
      <c r="D344" s="30"/>
      <c r="E344" s="30"/>
      <c r="F344" s="30"/>
      <c r="G344" s="30"/>
      <c r="H344" s="30"/>
      <c r="I344" s="30"/>
      <c r="J344" s="30"/>
      <c r="K344" s="30"/>
      <c r="L344" s="30"/>
      <c r="M344" s="30"/>
      <c r="N344" s="30"/>
      <c r="R344" s="240"/>
    </row>
    <row r="345">
      <c r="A345" s="30"/>
      <c r="B345" s="249"/>
      <c r="C345" s="249"/>
      <c r="D345" s="30"/>
      <c r="E345" s="30"/>
      <c r="F345" s="30"/>
      <c r="G345" s="30"/>
      <c r="H345" s="30"/>
      <c r="I345" s="30"/>
      <c r="J345" s="30"/>
      <c r="K345" s="30"/>
      <c r="L345" s="30"/>
      <c r="M345" s="30"/>
      <c r="N345" s="30"/>
      <c r="R345" s="240"/>
    </row>
    <row r="346">
      <c r="A346" s="30"/>
      <c r="B346" s="249"/>
      <c r="C346" s="249"/>
      <c r="D346" s="30"/>
      <c r="E346" s="30"/>
      <c r="F346" s="30"/>
      <c r="G346" s="30"/>
      <c r="H346" s="30"/>
      <c r="I346" s="30"/>
      <c r="J346" s="30"/>
      <c r="K346" s="30"/>
      <c r="L346" s="30"/>
      <c r="M346" s="30"/>
      <c r="N346" s="30"/>
      <c r="R346" s="240"/>
    </row>
    <row r="347">
      <c r="A347" s="30"/>
      <c r="B347" s="249"/>
      <c r="C347" s="249"/>
      <c r="D347" s="30"/>
      <c r="E347" s="30"/>
      <c r="F347" s="30"/>
      <c r="G347" s="30"/>
      <c r="H347" s="30"/>
      <c r="I347" s="30"/>
      <c r="J347" s="30"/>
      <c r="K347" s="30"/>
      <c r="L347" s="30"/>
      <c r="M347" s="30"/>
      <c r="N347" s="30"/>
      <c r="R347" s="240"/>
    </row>
    <row r="348">
      <c r="A348" s="30"/>
      <c r="B348" s="249"/>
      <c r="C348" s="249"/>
      <c r="D348" s="30"/>
      <c r="E348" s="30"/>
      <c r="F348" s="30"/>
      <c r="G348" s="30"/>
      <c r="H348" s="30"/>
      <c r="I348" s="30"/>
      <c r="J348" s="30"/>
      <c r="K348" s="30"/>
      <c r="L348" s="30"/>
      <c r="M348" s="30"/>
      <c r="N348" s="30"/>
      <c r="R348" s="240"/>
    </row>
    <row r="349">
      <c r="A349" s="30"/>
      <c r="B349" s="249"/>
      <c r="C349" s="249"/>
      <c r="D349" s="30"/>
      <c r="E349" s="30"/>
      <c r="F349" s="30"/>
      <c r="G349" s="30"/>
      <c r="H349" s="30"/>
      <c r="I349" s="30"/>
      <c r="J349" s="30"/>
      <c r="K349" s="30"/>
      <c r="L349" s="30"/>
      <c r="M349" s="30"/>
      <c r="N349" s="30"/>
      <c r="R349" s="240"/>
    </row>
    <row r="350">
      <c r="A350" s="30"/>
      <c r="B350" s="249"/>
      <c r="C350" s="249"/>
      <c r="D350" s="30"/>
      <c r="E350" s="30"/>
      <c r="F350" s="30"/>
      <c r="G350" s="30"/>
      <c r="H350" s="30"/>
      <c r="I350" s="30"/>
      <c r="J350" s="30"/>
      <c r="K350" s="30"/>
      <c r="L350" s="30"/>
      <c r="M350" s="30"/>
      <c r="N350" s="30"/>
      <c r="R350" s="240"/>
    </row>
    <row r="351">
      <c r="A351" s="30"/>
      <c r="B351" s="249"/>
      <c r="C351" s="249"/>
      <c r="D351" s="30"/>
      <c r="E351" s="30"/>
      <c r="F351" s="30"/>
      <c r="G351" s="30"/>
      <c r="H351" s="30"/>
      <c r="I351" s="30"/>
      <c r="J351" s="30"/>
      <c r="K351" s="30"/>
      <c r="L351" s="30"/>
      <c r="M351" s="30"/>
      <c r="N351" s="30"/>
      <c r="R351" s="240"/>
    </row>
    <row r="352">
      <c r="A352" s="30"/>
      <c r="B352" s="249"/>
      <c r="C352" s="249"/>
      <c r="D352" s="30"/>
      <c r="E352" s="30"/>
      <c r="F352" s="30"/>
      <c r="G352" s="30"/>
      <c r="H352" s="30"/>
      <c r="I352" s="30"/>
      <c r="J352" s="30"/>
      <c r="K352" s="30"/>
      <c r="L352" s="30"/>
      <c r="M352" s="30"/>
      <c r="N352" s="30"/>
      <c r="R352" s="240"/>
    </row>
    <row r="353">
      <c r="A353" s="30"/>
      <c r="B353" s="249"/>
      <c r="C353" s="249"/>
      <c r="D353" s="30"/>
      <c r="E353" s="30"/>
      <c r="F353" s="30"/>
      <c r="G353" s="30"/>
      <c r="H353" s="30"/>
      <c r="I353" s="30"/>
      <c r="J353" s="30"/>
      <c r="K353" s="30"/>
      <c r="L353" s="30"/>
      <c r="M353" s="30"/>
      <c r="N353" s="30"/>
      <c r="R353" s="240"/>
    </row>
    <row r="354">
      <c r="A354" s="30"/>
      <c r="B354" s="249"/>
      <c r="C354" s="249"/>
      <c r="D354" s="30"/>
      <c r="E354" s="30"/>
      <c r="F354" s="30"/>
      <c r="G354" s="30"/>
      <c r="H354" s="30"/>
      <c r="I354" s="30"/>
      <c r="J354" s="30"/>
      <c r="K354" s="30"/>
      <c r="L354" s="30"/>
      <c r="M354" s="30"/>
      <c r="N354" s="30"/>
      <c r="R354" s="240"/>
    </row>
    <row r="355">
      <c r="A355" s="30"/>
      <c r="B355" s="249"/>
      <c r="C355" s="249"/>
      <c r="D355" s="30"/>
      <c r="E355" s="30"/>
      <c r="F355" s="30"/>
      <c r="G355" s="30"/>
      <c r="H355" s="30"/>
      <c r="I355" s="30"/>
      <c r="J355" s="30"/>
      <c r="K355" s="30"/>
      <c r="L355" s="30"/>
      <c r="M355" s="30"/>
      <c r="N355" s="30"/>
      <c r="R355" s="240"/>
    </row>
    <row r="356">
      <c r="A356" s="30"/>
      <c r="B356" s="249"/>
      <c r="C356" s="249"/>
      <c r="D356" s="30"/>
      <c r="E356" s="30"/>
      <c r="F356" s="30"/>
      <c r="G356" s="30"/>
      <c r="H356" s="30"/>
      <c r="I356" s="30"/>
      <c r="J356" s="30"/>
      <c r="K356" s="30"/>
      <c r="L356" s="30"/>
      <c r="M356" s="30"/>
      <c r="N356" s="30"/>
      <c r="R356" s="240"/>
    </row>
    <row r="357">
      <c r="A357" s="30"/>
      <c r="B357" s="249"/>
      <c r="C357" s="249"/>
      <c r="D357" s="30"/>
      <c r="E357" s="30"/>
      <c r="F357" s="30"/>
      <c r="G357" s="30"/>
      <c r="H357" s="30"/>
      <c r="I357" s="30"/>
      <c r="J357" s="30"/>
      <c r="K357" s="30"/>
      <c r="L357" s="30"/>
      <c r="M357" s="30"/>
      <c r="N357" s="30"/>
      <c r="R357" s="240"/>
    </row>
    <row r="358">
      <c r="A358" s="30"/>
      <c r="B358" s="249"/>
      <c r="C358" s="249"/>
      <c r="D358" s="30"/>
      <c r="E358" s="30"/>
      <c r="F358" s="30"/>
      <c r="G358" s="30"/>
      <c r="H358" s="30"/>
      <c r="I358" s="30"/>
      <c r="J358" s="30"/>
      <c r="K358" s="30"/>
      <c r="L358" s="30"/>
      <c r="M358" s="30"/>
      <c r="N358" s="30"/>
      <c r="R358" s="240"/>
    </row>
    <row r="359">
      <c r="A359" s="30"/>
      <c r="B359" s="249"/>
      <c r="C359" s="249"/>
      <c r="D359" s="30"/>
      <c r="E359" s="30"/>
      <c r="F359" s="30"/>
      <c r="G359" s="30"/>
      <c r="H359" s="30"/>
      <c r="I359" s="30"/>
      <c r="J359" s="30"/>
      <c r="K359" s="30"/>
      <c r="L359" s="30"/>
      <c r="M359" s="30"/>
      <c r="N359" s="30"/>
      <c r="R359" s="240"/>
    </row>
    <row r="360">
      <c r="A360" s="30"/>
      <c r="B360" s="249"/>
      <c r="C360" s="249"/>
      <c r="D360" s="30"/>
      <c r="E360" s="30"/>
      <c r="F360" s="30"/>
      <c r="G360" s="30"/>
      <c r="H360" s="30"/>
      <c r="I360" s="30"/>
      <c r="J360" s="30"/>
      <c r="K360" s="30"/>
      <c r="L360" s="30"/>
      <c r="M360" s="30"/>
      <c r="N360" s="30"/>
      <c r="R360" s="240"/>
    </row>
    <row r="361">
      <c r="A361" s="30"/>
      <c r="B361" s="249"/>
      <c r="C361" s="249"/>
      <c r="D361" s="30"/>
      <c r="E361" s="30"/>
      <c r="F361" s="30"/>
      <c r="G361" s="30"/>
      <c r="H361" s="30"/>
      <c r="I361" s="30"/>
      <c r="J361" s="30"/>
      <c r="K361" s="30"/>
      <c r="L361" s="30"/>
      <c r="M361" s="30"/>
      <c r="N361" s="30"/>
      <c r="R361" s="240"/>
    </row>
    <row r="362">
      <c r="A362" s="30"/>
      <c r="B362" s="249"/>
      <c r="C362" s="249"/>
      <c r="D362" s="30"/>
      <c r="E362" s="30"/>
      <c r="F362" s="30"/>
      <c r="G362" s="30"/>
      <c r="H362" s="30"/>
      <c r="I362" s="30"/>
      <c r="J362" s="30"/>
      <c r="K362" s="30"/>
      <c r="L362" s="30"/>
      <c r="M362" s="30"/>
      <c r="N362" s="30"/>
      <c r="R362" s="240"/>
    </row>
    <row r="363">
      <c r="A363" s="30"/>
      <c r="B363" s="249"/>
      <c r="C363" s="249"/>
      <c r="D363" s="30"/>
      <c r="E363" s="30"/>
      <c r="F363" s="30"/>
      <c r="G363" s="30"/>
      <c r="H363" s="30"/>
      <c r="I363" s="30"/>
      <c r="J363" s="30"/>
      <c r="K363" s="30"/>
      <c r="L363" s="30"/>
      <c r="M363" s="30"/>
      <c r="N363" s="30"/>
      <c r="R363" s="240"/>
    </row>
    <row r="364">
      <c r="A364" s="30"/>
      <c r="B364" s="249"/>
      <c r="C364" s="249"/>
      <c r="D364" s="30"/>
      <c r="E364" s="30"/>
      <c r="F364" s="30"/>
      <c r="G364" s="30"/>
      <c r="H364" s="30"/>
      <c r="I364" s="30"/>
      <c r="J364" s="30"/>
      <c r="K364" s="30"/>
      <c r="L364" s="30"/>
      <c r="M364" s="30"/>
      <c r="N364" s="30"/>
      <c r="R364" s="240"/>
    </row>
    <row r="365">
      <c r="A365" s="30"/>
      <c r="B365" s="249"/>
      <c r="C365" s="249"/>
      <c r="D365" s="30"/>
      <c r="E365" s="30"/>
      <c r="F365" s="30"/>
      <c r="G365" s="30"/>
      <c r="H365" s="30"/>
      <c r="I365" s="30"/>
      <c r="J365" s="30"/>
      <c r="K365" s="30"/>
      <c r="L365" s="30"/>
      <c r="M365" s="30"/>
      <c r="N365" s="30"/>
      <c r="R365" s="240"/>
    </row>
    <row r="366">
      <c r="A366" s="30"/>
      <c r="B366" s="249"/>
      <c r="C366" s="249"/>
      <c r="D366" s="30"/>
      <c r="E366" s="30"/>
      <c r="F366" s="30"/>
      <c r="G366" s="30"/>
      <c r="H366" s="30"/>
      <c r="I366" s="30"/>
      <c r="J366" s="30"/>
      <c r="K366" s="30"/>
      <c r="L366" s="30"/>
      <c r="M366" s="30"/>
      <c r="N366" s="30"/>
      <c r="R366" s="240"/>
    </row>
    <row r="367">
      <c r="A367" s="30"/>
      <c r="B367" s="249"/>
      <c r="C367" s="249"/>
      <c r="D367" s="30"/>
      <c r="E367" s="30"/>
      <c r="F367" s="30"/>
      <c r="G367" s="30"/>
      <c r="H367" s="30"/>
      <c r="I367" s="30"/>
      <c r="J367" s="30"/>
      <c r="K367" s="30"/>
      <c r="L367" s="30"/>
      <c r="M367" s="30"/>
      <c r="N367" s="30"/>
      <c r="R367" s="240"/>
    </row>
    <row r="368">
      <c r="A368" s="30"/>
      <c r="B368" s="249"/>
      <c r="C368" s="249"/>
      <c r="D368" s="30"/>
      <c r="E368" s="30"/>
      <c r="F368" s="30"/>
      <c r="G368" s="30"/>
      <c r="H368" s="30"/>
      <c r="I368" s="30"/>
      <c r="J368" s="30"/>
      <c r="K368" s="30"/>
      <c r="L368" s="30"/>
      <c r="M368" s="30"/>
      <c r="N368" s="30"/>
      <c r="R368" s="240"/>
    </row>
    <row r="369">
      <c r="A369" s="30"/>
      <c r="B369" s="249"/>
      <c r="C369" s="249"/>
      <c r="D369" s="30"/>
      <c r="E369" s="30"/>
      <c r="F369" s="30"/>
      <c r="G369" s="30"/>
      <c r="H369" s="30"/>
      <c r="I369" s="30"/>
      <c r="J369" s="30"/>
      <c r="K369" s="30"/>
      <c r="L369" s="30"/>
      <c r="M369" s="30"/>
      <c r="N369" s="30"/>
      <c r="R369" s="240"/>
    </row>
    <row r="370">
      <c r="A370" s="30"/>
      <c r="B370" s="249"/>
      <c r="C370" s="249"/>
      <c r="D370" s="30"/>
      <c r="E370" s="30"/>
      <c r="F370" s="30"/>
      <c r="G370" s="30"/>
      <c r="H370" s="30"/>
      <c r="I370" s="30"/>
      <c r="J370" s="30"/>
      <c r="K370" s="30"/>
      <c r="L370" s="30"/>
      <c r="M370" s="30"/>
      <c r="N370" s="30"/>
      <c r="R370" s="240"/>
    </row>
    <row r="371">
      <c r="A371" s="30"/>
      <c r="B371" s="249"/>
      <c r="C371" s="249"/>
      <c r="D371" s="30"/>
      <c r="E371" s="30"/>
      <c r="F371" s="30"/>
      <c r="G371" s="30"/>
      <c r="H371" s="30"/>
      <c r="I371" s="30"/>
      <c r="J371" s="30"/>
      <c r="K371" s="30"/>
      <c r="L371" s="30"/>
      <c r="M371" s="30"/>
      <c r="N371" s="30"/>
      <c r="R371" s="240"/>
    </row>
    <row r="372">
      <c r="A372" s="30"/>
      <c r="B372" s="249"/>
      <c r="C372" s="249"/>
      <c r="D372" s="30"/>
      <c r="E372" s="30"/>
      <c r="F372" s="30"/>
      <c r="G372" s="30"/>
      <c r="H372" s="30"/>
      <c r="I372" s="30"/>
      <c r="J372" s="30"/>
      <c r="K372" s="30"/>
      <c r="L372" s="30"/>
      <c r="M372" s="30"/>
      <c r="N372" s="30"/>
      <c r="R372" s="240"/>
    </row>
    <row r="373">
      <c r="A373" s="30"/>
      <c r="B373" s="249"/>
      <c r="C373" s="249"/>
      <c r="D373" s="30"/>
      <c r="E373" s="30"/>
      <c r="F373" s="30"/>
      <c r="G373" s="30"/>
      <c r="H373" s="30"/>
      <c r="I373" s="30"/>
      <c r="J373" s="30"/>
      <c r="K373" s="30"/>
      <c r="L373" s="30"/>
      <c r="M373" s="30"/>
      <c r="N373" s="30"/>
      <c r="R373" s="240"/>
    </row>
    <row r="374">
      <c r="A374" s="30"/>
      <c r="B374" s="249"/>
      <c r="C374" s="249"/>
      <c r="D374" s="30"/>
      <c r="E374" s="30"/>
      <c r="F374" s="30"/>
      <c r="G374" s="30"/>
      <c r="H374" s="30"/>
      <c r="I374" s="30"/>
      <c r="J374" s="30"/>
      <c r="K374" s="30"/>
      <c r="L374" s="30"/>
      <c r="M374" s="30"/>
      <c r="N374" s="30"/>
      <c r="R374" s="240"/>
    </row>
    <row r="375">
      <c r="A375" s="30"/>
      <c r="B375" s="249"/>
      <c r="C375" s="249"/>
      <c r="D375" s="30"/>
      <c r="E375" s="30"/>
      <c r="F375" s="30"/>
      <c r="G375" s="30"/>
      <c r="H375" s="30"/>
      <c r="I375" s="30"/>
      <c r="J375" s="30"/>
      <c r="K375" s="30"/>
      <c r="L375" s="30"/>
      <c r="M375" s="30"/>
      <c r="N375" s="30"/>
      <c r="R375" s="240"/>
    </row>
    <row r="376">
      <c r="A376" s="30"/>
      <c r="B376" s="249"/>
      <c r="C376" s="249"/>
      <c r="D376" s="30"/>
      <c r="E376" s="30"/>
      <c r="F376" s="30"/>
      <c r="G376" s="30"/>
      <c r="H376" s="30"/>
      <c r="I376" s="30"/>
      <c r="J376" s="30"/>
      <c r="K376" s="30"/>
      <c r="L376" s="30"/>
      <c r="M376" s="30"/>
      <c r="N376" s="30"/>
      <c r="R376" s="240"/>
    </row>
    <row r="377">
      <c r="A377" s="30"/>
      <c r="B377" s="249"/>
      <c r="C377" s="249"/>
      <c r="D377" s="30"/>
      <c r="E377" s="30"/>
      <c r="F377" s="30"/>
      <c r="G377" s="30"/>
      <c r="H377" s="30"/>
      <c r="I377" s="30"/>
      <c r="J377" s="30"/>
      <c r="K377" s="30"/>
      <c r="L377" s="30"/>
      <c r="M377" s="30"/>
      <c r="N377" s="30"/>
      <c r="R377" s="240"/>
    </row>
    <row r="378">
      <c r="A378" s="30"/>
      <c r="B378" s="249"/>
      <c r="C378" s="249"/>
      <c r="D378" s="30"/>
      <c r="E378" s="30"/>
      <c r="F378" s="30"/>
      <c r="G378" s="30"/>
      <c r="H378" s="30"/>
      <c r="I378" s="30"/>
      <c r="J378" s="30"/>
      <c r="K378" s="30"/>
      <c r="L378" s="30"/>
      <c r="M378" s="30"/>
      <c r="N378" s="30"/>
      <c r="R378" s="240"/>
    </row>
    <row r="379">
      <c r="A379" s="30"/>
      <c r="B379" s="249"/>
      <c r="C379" s="249"/>
      <c r="D379" s="30"/>
      <c r="E379" s="30"/>
      <c r="F379" s="30"/>
      <c r="G379" s="30"/>
      <c r="H379" s="30"/>
      <c r="I379" s="30"/>
      <c r="J379" s="30"/>
      <c r="K379" s="30"/>
      <c r="L379" s="30"/>
      <c r="M379" s="30"/>
      <c r="N379" s="30"/>
      <c r="R379" s="240"/>
    </row>
    <row r="380">
      <c r="A380" s="30"/>
      <c r="B380" s="249"/>
      <c r="C380" s="249"/>
      <c r="D380" s="30"/>
      <c r="E380" s="30"/>
      <c r="F380" s="30"/>
      <c r="G380" s="30"/>
      <c r="H380" s="30"/>
      <c r="I380" s="30"/>
      <c r="J380" s="30"/>
      <c r="K380" s="30"/>
      <c r="L380" s="30"/>
      <c r="M380" s="30"/>
      <c r="N380" s="30"/>
      <c r="R380" s="240"/>
    </row>
    <row r="381">
      <c r="A381" s="30"/>
      <c r="B381" s="249"/>
      <c r="C381" s="249"/>
      <c r="D381" s="30"/>
      <c r="E381" s="30"/>
      <c r="F381" s="30"/>
      <c r="G381" s="30"/>
      <c r="H381" s="30"/>
      <c r="I381" s="30"/>
      <c r="J381" s="30"/>
      <c r="K381" s="30"/>
      <c r="L381" s="30"/>
      <c r="M381" s="30"/>
      <c r="N381" s="30"/>
      <c r="R381" s="240"/>
    </row>
    <row r="382">
      <c r="A382" s="30"/>
      <c r="B382" s="249"/>
      <c r="C382" s="249"/>
      <c r="D382" s="30"/>
      <c r="E382" s="30"/>
      <c r="F382" s="30"/>
      <c r="G382" s="30"/>
      <c r="H382" s="30"/>
      <c r="I382" s="30"/>
      <c r="J382" s="30"/>
      <c r="K382" s="30"/>
      <c r="L382" s="30"/>
      <c r="M382" s="30"/>
      <c r="N382" s="30"/>
      <c r="R382" s="240"/>
    </row>
    <row r="383">
      <c r="A383" s="30"/>
      <c r="B383" s="249"/>
      <c r="C383" s="249"/>
      <c r="D383" s="30"/>
      <c r="E383" s="30"/>
      <c r="F383" s="30"/>
      <c r="G383" s="30"/>
      <c r="H383" s="30"/>
      <c r="I383" s="30"/>
      <c r="J383" s="30"/>
      <c r="K383" s="30"/>
      <c r="L383" s="30"/>
      <c r="M383" s="30"/>
      <c r="N383" s="30"/>
      <c r="R383" s="240"/>
    </row>
    <row r="384">
      <c r="A384" s="30"/>
      <c r="B384" s="249"/>
      <c r="C384" s="249"/>
      <c r="D384" s="30"/>
      <c r="E384" s="30"/>
      <c r="F384" s="30"/>
      <c r="G384" s="30"/>
      <c r="H384" s="30"/>
      <c r="I384" s="30"/>
      <c r="J384" s="30"/>
      <c r="K384" s="30"/>
      <c r="L384" s="30"/>
      <c r="M384" s="30"/>
      <c r="N384" s="30"/>
      <c r="R384" s="240"/>
    </row>
    <row r="385">
      <c r="A385" s="30"/>
      <c r="B385" s="249"/>
      <c r="C385" s="249"/>
      <c r="D385" s="30"/>
      <c r="E385" s="30"/>
      <c r="F385" s="30"/>
      <c r="G385" s="30"/>
      <c r="H385" s="30"/>
      <c r="I385" s="30"/>
      <c r="J385" s="30"/>
      <c r="K385" s="30"/>
      <c r="L385" s="30"/>
      <c r="M385" s="30"/>
      <c r="N385" s="30"/>
      <c r="R385" s="240"/>
    </row>
    <row r="386">
      <c r="A386" s="30"/>
      <c r="B386" s="249"/>
      <c r="C386" s="249"/>
      <c r="D386" s="30"/>
      <c r="E386" s="30"/>
      <c r="F386" s="30"/>
      <c r="G386" s="30"/>
      <c r="H386" s="30"/>
      <c r="I386" s="30"/>
      <c r="J386" s="30"/>
      <c r="K386" s="30"/>
      <c r="L386" s="30"/>
      <c r="M386" s="30"/>
      <c r="N386" s="30"/>
      <c r="R386" s="240"/>
    </row>
    <row r="387">
      <c r="A387" s="30"/>
      <c r="B387" s="249"/>
      <c r="C387" s="249"/>
      <c r="D387" s="30"/>
      <c r="E387" s="30"/>
      <c r="F387" s="30"/>
      <c r="G387" s="30"/>
      <c r="H387" s="30"/>
      <c r="I387" s="30"/>
      <c r="J387" s="30"/>
      <c r="K387" s="30"/>
      <c r="L387" s="30"/>
      <c r="M387" s="30"/>
      <c r="N387" s="30"/>
      <c r="R387" s="240"/>
    </row>
    <row r="388">
      <c r="A388" s="30"/>
      <c r="B388" s="249"/>
      <c r="C388" s="249"/>
      <c r="D388" s="30"/>
      <c r="E388" s="30"/>
      <c r="F388" s="30"/>
      <c r="G388" s="30"/>
      <c r="H388" s="30"/>
      <c r="I388" s="30"/>
      <c r="J388" s="30"/>
      <c r="K388" s="30"/>
      <c r="L388" s="30"/>
      <c r="M388" s="30"/>
      <c r="N388" s="30"/>
      <c r="R388" s="240"/>
    </row>
    <row r="389">
      <c r="A389" s="30"/>
      <c r="B389" s="249"/>
      <c r="C389" s="249"/>
      <c r="D389" s="30"/>
      <c r="E389" s="30"/>
      <c r="F389" s="30"/>
      <c r="G389" s="30"/>
      <c r="H389" s="30"/>
      <c r="I389" s="30"/>
      <c r="J389" s="30"/>
      <c r="K389" s="30"/>
      <c r="L389" s="30"/>
      <c r="M389" s="30"/>
      <c r="N389" s="30"/>
      <c r="R389" s="240"/>
    </row>
    <row r="390">
      <c r="A390" s="30"/>
      <c r="B390" s="249"/>
      <c r="C390" s="249"/>
      <c r="D390" s="30"/>
      <c r="E390" s="30"/>
      <c r="F390" s="30"/>
      <c r="G390" s="30"/>
      <c r="H390" s="30"/>
      <c r="I390" s="30"/>
      <c r="J390" s="30"/>
      <c r="K390" s="30"/>
      <c r="L390" s="30"/>
      <c r="M390" s="30"/>
      <c r="N390" s="30"/>
      <c r="R390" s="240"/>
    </row>
    <row r="391">
      <c r="A391" s="30"/>
      <c r="B391" s="249"/>
      <c r="C391" s="249"/>
      <c r="D391" s="30"/>
      <c r="E391" s="30"/>
      <c r="F391" s="30"/>
      <c r="G391" s="30"/>
      <c r="H391" s="30"/>
      <c r="I391" s="30"/>
      <c r="J391" s="30"/>
      <c r="K391" s="30"/>
      <c r="L391" s="30"/>
      <c r="M391" s="30"/>
      <c r="N391" s="30"/>
      <c r="R391" s="240"/>
    </row>
    <row r="392">
      <c r="A392" s="30"/>
      <c r="B392" s="249"/>
      <c r="C392" s="249"/>
      <c r="D392" s="30"/>
      <c r="E392" s="30"/>
      <c r="F392" s="30"/>
      <c r="G392" s="30"/>
      <c r="H392" s="30"/>
      <c r="I392" s="30"/>
      <c r="J392" s="30"/>
      <c r="K392" s="30"/>
      <c r="L392" s="30"/>
      <c r="M392" s="30"/>
      <c r="N392" s="30"/>
      <c r="R392" s="240"/>
    </row>
    <row r="393">
      <c r="A393" s="30"/>
      <c r="B393" s="249"/>
      <c r="C393" s="249"/>
      <c r="D393" s="30"/>
      <c r="E393" s="30"/>
      <c r="F393" s="30"/>
      <c r="G393" s="30"/>
      <c r="H393" s="30"/>
      <c r="I393" s="30"/>
      <c r="J393" s="30"/>
      <c r="K393" s="30"/>
      <c r="L393" s="30"/>
      <c r="M393" s="30"/>
      <c r="N393" s="30"/>
      <c r="R393" s="240"/>
    </row>
    <row r="394">
      <c r="A394" s="30"/>
      <c r="B394" s="249"/>
      <c r="C394" s="249"/>
      <c r="D394" s="30"/>
      <c r="E394" s="30"/>
      <c r="F394" s="30"/>
      <c r="G394" s="30"/>
      <c r="H394" s="30"/>
      <c r="I394" s="30"/>
      <c r="J394" s="30"/>
      <c r="K394" s="30"/>
      <c r="L394" s="30"/>
      <c r="M394" s="30"/>
      <c r="N394" s="30"/>
      <c r="R394" s="240"/>
    </row>
    <row r="395">
      <c r="A395" s="30"/>
      <c r="B395" s="249"/>
      <c r="C395" s="249"/>
      <c r="D395" s="30"/>
      <c r="E395" s="30"/>
      <c r="F395" s="30"/>
      <c r="G395" s="30"/>
      <c r="H395" s="30"/>
      <c r="I395" s="30"/>
      <c r="J395" s="30"/>
      <c r="K395" s="30"/>
      <c r="L395" s="30"/>
      <c r="M395" s="30"/>
      <c r="N395" s="30"/>
      <c r="R395" s="240"/>
    </row>
    <row r="396">
      <c r="A396" s="30"/>
      <c r="B396" s="249"/>
      <c r="C396" s="249"/>
      <c r="D396" s="30"/>
      <c r="E396" s="30"/>
      <c r="F396" s="30"/>
      <c r="G396" s="30"/>
      <c r="H396" s="30"/>
      <c r="I396" s="30"/>
      <c r="J396" s="30"/>
      <c r="K396" s="30"/>
      <c r="L396" s="30"/>
      <c r="M396" s="30"/>
      <c r="N396" s="30"/>
      <c r="R396" s="240"/>
    </row>
    <row r="397">
      <c r="A397" s="30"/>
      <c r="B397" s="249"/>
      <c r="C397" s="249"/>
      <c r="D397" s="30"/>
      <c r="E397" s="30"/>
      <c r="F397" s="30"/>
      <c r="G397" s="30"/>
      <c r="H397" s="30"/>
      <c r="I397" s="30"/>
      <c r="J397" s="30"/>
      <c r="K397" s="30"/>
      <c r="L397" s="30"/>
      <c r="M397" s="30"/>
      <c r="N397" s="30"/>
      <c r="R397" s="240"/>
    </row>
    <row r="398">
      <c r="A398" s="30"/>
      <c r="B398" s="249"/>
      <c r="C398" s="249"/>
      <c r="D398" s="30"/>
      <c r="E398" s="30"/>
      <c r="F398" s="30"/>
      <c r="G398" s="30"/>
      <c r="H398" s="30"/>
      <c r="I398" s="30"/>
      <c r="J398" s="30"/>
      <c r="K398" s="30"/>
      <c r="L398" s="30"/>
      <c r="M398" s="30"/>
      <c r="N398" s="30"/>
      <c r="R398" s="240"/>
    </row>
    <row r="399">
      <c r="A399" s="30"/>
      <c r="B399" s="249"/>
      <c r="C399" s="249"/>
      <c r="D399" s="30"/>
      <c r="E399" s="30"/>
      <c r="F399" s="30"/>
      <c r="G399" s="30"/>
      <c r="H399" s="30"/>
      <c r="I399" s="30"/>
      <c r="J399" s="30"/>
      <c r="K399" s="30"/>
      <c r="L399" s="30"/>
      <c r="M399" s="30"/>
      <c r="N399" s="30"/>
      <c r="R399" s="240"/>
    </row>
    <row r="400">
      <c r="A400" s="30"/>
      <c r="B400" s="249"/>
      <c r="C400" s="249"/>
      <c r="D400" s="30"/>
      <c r="E400" s="30"/>
      <c r="F400" s="30"/>
      <c r="G400" s="30"/>
      <c r="H400" s="30"/>
      <c r="I400" s="30"/>
      <c r="J400" s="30"/>
      <c r="K400" s="30"/>
      <c r="L400" s="30"/>
      <c r="M400" s="30"/>
      <c r="N400" s="30"/>
      <c r="R400" s="240"/>
    </row>
    <row r="401">
      <c r="A401" s="30"/>
      <c r="B401" s="249"/>
      <c r="C401" s="249"/>
      <c r="D401" s="30"/>
      <c r="E401" s="30"/>
      <c r="F401" s="30"/>
      <c r="G401" s="30"/>
      <c r="H401" s="30"/>
      <c r="I401" s="30"/>
      <c r="J401" s="30"/>
      <c r="K401" s="30"/>
      <c r="L401" s="30"/>
      <c r="M401" s="30"/>
      <c r="N401" s="30"/>
      <c r="R401" s="240"/>
    </row>
    <row r="402">
      <c r="A402" s="30"/>
      <c r="B402" s="249"/>
      <c r="C402" s="249"/>
      <c r="D402" s="30"/>
      <c r="E402" s="30"/>
      <c r="F402" s="30"/>
      <c r="G402" s="30"/>
      <c r="H402" s="30"/>
      <c r="I402" s="30"/>
      <c r="J402" s="30"/>
      <c r="K402" s="30"/>
      <c r="L402" s="30"/>
      <c r="M402" s="30"/>
      <c r="N402" s="30"/>
      <c r="R402" s="240"/>
    </row>
    <row r="403">
      <c r="A403" s="30"/>
      <c r="B403" s="249"/>
      <c r="C403" s="249"/>
      <c r="D403" s="30"/>
      <c r="E403" s="30"/>
      <c r="F403" s="30"/>
      <c r="G403" s="30"/>
      <c r="H403" s="30"/>
      <c r="I403" s="30"/>
      <c r="J403" s="30"/>
      <c r="K403" s="30"/>
      <c r="L403" s="30"/>
      <c r="M403" s="30"/>
      <c r="N403" s="30"/>
      <c r="R403" s="240"/>
    </row>
    <row r="404">
      <c r="A404" s="30"/>
      <c r="B404" s="249"/>
      <c r="C404" s="249"/>
      <c r="D404" s="30"/>
      <c r="E404" s="30"/>
      <c r="F404" s="30"/>
      <c r="G404" s="30"/>
      <c r="H404" s="30"/>
      <c r="I404" s="30"/>
      <c r="J404" s="30"/>
      <c r="K404" s="30"/>
      <c r="L404" s="30"/>
      <c r="M404" s="30"/>
      <c r="N404" s="30"/>
      <c r="R404" s="240"/>
    </row>
    <row r="405">
      <c r="A405" s="30"/>
      <c r="B405" s="249"/>
      <c r="C405" s="249"/>
      <c r="D405" s="30"/>
      <c r="E405" s="30"/>
      <c r="F405" s="30"/>
      <c r="G405" s="30"/>
      <c r="H405" s="30"/>
      <c r="I405" s="30"/>
      <c r="J405" s="30"/>
      <c r="K405" s="30"/>
      <c r="L405" s="30"/>
      <c r="M405" s="30"/>
      <c r="N405" s="30"/>
      <c r="R405" s="240"/>
    </row>
    <row r="406">
      <c r="A406" s="30"/>
      <c r="B406" s="249"/>
      <c r="C406" s="249"/>
      <c r="D406" s="30"/>
      <c r="E406" s="30"/>
      <c r="F406" s="30"/>
      <c r="G406" s="30"/>
      <c r="H406" s="30"/>
      <c r="I406" s="30"/>
      <c r="J406" s="30"/>
      <c r="K406" s="30"/>
      <c r="L406" s="30"/>
      <c r="M406" s="30"/>
      <c r="N406" s="30"/>
      <c r="R406" s="240"/>
    </row>
    <row r="407">
      <c r="A407" s="30"/>
      <c r="B407" s="249"/>
      <c r="C407" s="249"/>
      <c r="D407" s="30"/>
      <c r="E407" s="30"/>
      <c r="F407" s="30"/>
      <c r="G407" s="30"/>
      <c r="H407" s="30"/>
      <c r="I407" s="30"/>
      <c r="J407" s="30"/>
      <c r="K407" s="30"/>
      <c r="L407" s="30"/>
      <c r="M407" s="30"/>
      <c r="N407" s="30"/>
      <c r="R407" s="240"/>
    </row>
    <row r="408">
      <c r="A408" s="30"/>
      <c r="B408" s="249"/>
      <c r="C408" s="249"/>
      <c r="D408" s="30"/>
      <c r="E408" s="30"/>
      <c r="F408" s="30"/>
      <c r="G408" s="30"/>
      <c r="H408" s="30"/>
      <c r="I408" s="30"/>
      <c r="J408" s="30"/>
      <c r="K408" s="30"/>
      <c r="L408" s="30"/>
      <c r="M408" s="30"/>
      <c r="N408" s="30"/>
      <c r="R408" s="240"/>
    </row>
    <row r="409">
      <c r="A409" s="30"/>
      <c r="B409" s="249"/>
      <c r="C409" s="249"/>
      <c r="D409" s="30"/>
      <c r="E409" s="30"/>
      <c r="F409" s="30"/>
      <c r="G409" s="30"/>
      <c r="H409" s="30"/>
      <c r="I409" s="30"/>
      <c r="J409" s="30"/>
      <c r="K409" s="30"/>
      <c r="L409" s="30"/>
      <c r="M409" s="30"/>
      <c r="N409" s="30"/>
      <c r="R409" s="240"/>
    </row>
    <row r="410">
      <c r="A410" s="30"/>
      <c r="B410" s="249"/>
      <c r="C410" s="249"/>
      <c r="D410" s="30"/>
      <c r="E410" s="30"/>
      <c r="F410" s="30"/>
      <c r="G410" s="30"/>
      <c r="H410" s="30"/>
      <c r="I410" s="30"/>
      <c r="J410" s="30"/>
      <c r="K410" s="30"/>
      <c r="L410" s="30"/>
      <c r="M410" s="30"/>
      <c r="N410" s="30"/>
      <c r="R410" s="240"/>
    </row>
    <row r="411">
      <c r="A411" s="30"/>
      <c r="B411" s="249"/>
      <c r="C411" s="249"/>
      <c r="D411" s="30"/>
      <c r="E411" s="30"/>
      <c r="F411" s="30"/>
      <c r="G411" s="30"/>
      <c r="H411" s="30"/>
      <c r="I411" s="30"/>
      <c r="J411" s="30"/>
      <c r="K411" s="30"/>
      <c r="L411" s="30"/>
      <c r="M411" s="30"/>
      <c r="N411" s="30"/>
      <c r="R411" s="240"/>
    </row>
    <row r="412">
      <c r="A412" s="30"/>
      <c r="B412" s="249"/>
      <c r="C412" s="249"/>
      <c r="D412" s="30"/>
      <c r="E412" s="30"/>
      <c r="F412" s="30"/>
      <c r="G412" s="30"/>
      <c r="H412" s="30"/>
      <c r="I412" s="30"/>
      <c r="J412" s="30"/>
      <c r="K412" s="30"/>
      <c r="L412" s="30"/>
      <c r="M412" s="30"/>
      <c r="N412" s="30"/>
      <c r="R412" s="240"/>
    </row>
    <row r="413">
      <c r="A413" s="30"/>
      <c r="B413" s="249"/>
      <c r="C413" s="249"/>
      <c r="D413" s="30"/>
      <c r="E413" s="30"/>
      <c r="F413" s="30"/>
      <c r="G413" s="30"/>
      <c r="H413" s="30"/>
      <c r="I413" s="30"/>
      <c r="J413" s="30"/>
      <c r="K413" s="30"/>
      <c r="L413" s="30"/>
      <c r="M413" s="30"/>
      <c r="N413" s="30"/>
      <c r="R413" s="240"/>
    </row>
    <row r="414">
      <c r="A414" s="30"/>
      <c r="B414" s="249"/>
      <c r="C414" s="249"/>
      <c r="D414" s="30"/>
      <c r="E414" s="30"/>
      <c r="F414" s="30"/>
      <c r="G414" s="30"/>
      <c r="H414" s="30"/>
      <c r="I414" s="30"/>
      <c r="J414" s="30"/>
      <c r="K414" s="30"/>
      <c r="L414" s="30"/>
      <c r="M414" s="30"/>
      <c r="N414" s="30"/>
      <c r="R414" s="240"/>
    </row>
    <row r="415">
      <c r="A415" s="30"/>
      <c r="B415" s="249"/>
      <c r="C415" s="249"/>
      <c r="D415" s="30"/>
      <c r="E415" s="30"/>
      <c r="F415" s="30"/>
      <c r="G415" s="30"/>
      <c r="H415" s="30"/>
      <c r="I415" s="30"/>
      <c r="J415" s="30"/>
      <c r="K415" s="30"/>
      <c r="L415" s="30"/>
      <c r="M415" s="30"/>
      <c r="N415" s="30"/>
      <c r="R415" s="240"/>
    </row>
    <row r="416">
      <c r="A416" s="30"/>
      <c r="B416" s="249"/>
      <c r="C416" s="249"/>
      <c r="D416" s="30"/>
      <c r="E416" s="30"/>
      <c r="F416" s="30"/>
      <c r="G416" s="30"/>
      <c r="H416" s="30"/>
      <c r="I416" s="30"/>
      <c r="J416" s="30"/>
      <c r="K416" s="30"/>
      <c r="L416" s="30"/>
      <c r="M416" s="30"/>
      <c r="N416" s="30"/>
      <c r="R416" s="240"/>
    </row>
    <row r="417">
      <c r="A417" s="30"/>
      <c r="B417" s="249"/>
      <c r="C417" s="249"/>
      <c r="D417" s="30"/>
      <c r="E417" s="30"/>
      <c r="F417" s="30"/>
      <c r="G417" s="30"/>
      <c r="H417" s="30"/>
      <c r="I417" s="30"/>
      <c r="J417" s="30"/>
      <c r="K417" s="30"/>
      <c r="L417" s="30"/>
      <c r="M417" s="30"/>
      <c r="N417" s="30"/>
      <c r="R417" s="240"/>
    </row>
    <row r="418">
      <c r="A418" s="30"/>
      <c r="B418" s="249"/>
      <c r="C418" s="249"/>
      <c r="D418" s="30"/>
      <c r="E418" s="30"/>
      <c r="F418" s="30"/>
      <c r="G418" s="30"/>
      <c r="H418" s="30"/>
      <c r="I418" s="30"/>
      <c r="J418" s="30"/>
      <c r="K418" s="30"/>
      <c r="L418" s="30"/>
      <c r="M418" s="30"/>
      <c r="N418" s="30"/>
      <c r="R418" s="240"/>
    </row>
    <row r="419">
      <c r="A419" s="30"/>
      <c r="B419" s="249"/>
      <c r="C419" s="249"/>
      <c r="D419" s="30"/>
      <c r="E419" s="30"/>
      <c r="F419" s="30"/>
      <c r="G419" s="30"/>
      <c r="H419" s="30"/>
      <c r="I419" s="30"/>
      <c r="J419" s="30"/>
      <c r="K419" s="30"/>
      <c r="L419" s="30"/>
      <c r="M419" s="30"/>
      <c r="N419" s="30"/>
      <c r="R419" s="240"/>
    </row>
    <row r="420">
      <c r="A420" s="30"/>
      <c r="B420" s="249"/>
      <c r="C420" s="249"/>
      <c r="D420" s="30"/>
      <c r="E420" s="30"/>
      <c r="F420" s="30"/>
      <c r="G420" s="30"/>
      <c r="H420" s="30"/>
      <c r="I420" s="30"/>
      <c r="J420" s="30"/>
      <c r="K420" s="30"/>
      <c r="L420" s="30"/>
      <c r="M420" s="30"/>
      <c r="N420" s="30"/>
      <c r="R420" s="240"/>
    </row>
    <row r="421">
      <c r="A421" s="30"/>
      <c r="B421" s="249"/>
      <c r="C421" s="249"/>
      <c r="D421" s="30"/>
      <c r="E421" s="30"/>
      <c r="F421" s="30"/>
      <c r="G421" s="30"/>
      <c r="H421" s="30"/>
      <c r="I421" s="30"/>
      <c r="J421" s="30"/>
      <c r="K421" s="30"/>
      <c r="L421" s="30"/>
      <c r="M421" s="30"/>
      <c r="N421" s="30"/>
      <c r="R421" s="240"/>
    </row>
    <row r="422">
      <c r="A422" s="30"/>
      <c r="B422" s="249"/>
      <c r="C422" s="249"/>
      <c r="D422" s="30"/>
      <c r="E422" s="30"/>
      <c r="F422" s="30"/>
      <c r="G422" s="30"/>
      <c r="H422" s="30"/>
      <c r="I422" s="30"/>
      <c r="J422" s="30"/>
      <c r="K422" s="30"/>
      <c r="L422" s="30"/>
      <c r="M422" s="30"/>
      <c r="N422" s="30"/>
      <c r="R422" s="240"/>
    </row>
    <row r="423">
      <c r="A423" s="30"/>
      <c r="B423" s="249"/>
      <c r="C423" s="249"/>
      <c r="D423" s="30"/>
      <c r="E423" s="30"/>
      <c r="F423" s="30"/>
      <c r="G423" s="30"/>
      <c r="H423" s="30"/>
      <c r="I423" s="30"/>
      <c r="J423" s="30"/>
      <c r="K423" s="30"/>
      <c r="L423" s="30"/>
      <c r="M423" s="30"/>
      <c r="N423" s="30"/>
      <c r="R423" s="240"/>
    </row>
    <row r="424">
      <c r="A424" s="30"/>
      <c r="B424" s="249"/>
      <c r="C424" s="249"/>
      <c r="D424" s="30"/>
      <c r="E424" s="30"/>
      <c r="F424" s="30"/>
      <c r="G424" s="30"/>
      <c r="H424" s="30"/>
      <c r="I424" s="30"/>
      <c r="J424" s="30"/>
      <c r="K424" s="30"/>
      <c r="L424" s="30"/>
      <c r="M424" s="30"/>
      <c r="N424" s="30"/>
      <c r="R424" s="240"/>
    </row>
    <row r="425">
      <c r="A425" s="30"/>
      <c r="B425" s="249"/>
      <c r="C425" s="249"/>
      <c r="D425" s="30"/>
      <c r="E425" s="30"/>
      <c r="F425" s="30"/>
      <c r="G425" s="30"/>
      <c r="H425" s="30"/>
      <c r="I425" s="30"/>
      <c r="J425" s="30"/>
      <c r="K425" s="30"/>
      <c r="L425" s="30"/>
      <c r="M425" s="30"/>
      <c r="N425" s="30"/>
      <c r="R425" s="240"/>
    </row>
    <row r="426">
      <c r="A426" s="30"/>
      <c r="B426" s="249"/>
      <c r="C426" s="249"/>
      <c r="D426" s="30"/>
      <c r="E426" s="30"/>
      <c r="F426" s="30"/>
      <c r="G426" s="30"/>
      <c r="H426" s="30"/>
      <c r="I426" s="30"/>
      <c r="J426" s="30"/>
      <c r="K426" s="30"/>
      <c r="L426" s="30"/>
      <c r="M426" s="30"/>
      <c r="N426" s="30"/>
      <c r="R426" s="240"/>
    </row>
    <row r="427">
      <c r="A427" s="30"/>
      <c r="B427" s="249"/>
      <c r="C427" s="249"/>
      <c r="D427" s="30"/>
      <c r="E427" s="30"/>
      <c r="F427" s="30"/>
      <c r="G427" s="30"/>
      <c r="H427" s="30"/>
      <c r="I427" s="30"/>
      <c r="J427" s="30"/>
      <c r="K427" s="30"/>
      <c r="L427" s="30"/>
      <c r="M427" s="30"/>
      <c r="N427" s="30"/>
      <c r="R427" s="240"/>
    </row>
    <row r="428">
      <c r="A428" s="30"/>
      <c r="B428" s="249"/>
      <c r="C428" s="249"/>
      <c r="D428" s="30"/>
      <c r="E428" s="30"/>
      <c r="F428" s="30"/>
      <c r="G428" s="30"/>
      <c r="H428" s="30"/>
      <c r="I428" s="30"/>
      <c r="J428" s="30"/>
      <c r="K428" s="30"/>
      <c r="L428" s="30"/>
      <c r="M428" s="30"/>
      <c r="N428" s="30"/>
      <c r="R428" s="240"/>
    </row>
    <row r="429">
      <c r="A429" s="30"/>
      <c r="B429" s="249"/>
      <c r="C429" s="249"/>
      <c r="D429" s="30"/>
      <c r="E429" s="30"/>
      <c r="F429" s="30"/>
      <c r="G429" s="30"/>
      <c r="H429" s="30"/>
      <c r="I429" s="30"/>
      <c r="J429" s="30"/>
      <c r="K429" s="30"/>
      <c r="L429" s="30"/>
      <c r="M429" s="30"/>
      <c r="N429" s="30"/>
      <c r="R429" s="240"/>
    </row>
    <row r="430">
      <c r="A430" s="30"/>
      <c r="B430" s="249"/>
      <c r="C430" s="249"/>
      <c r="D430" s="30"/>
      <c r="E430" s="30"/>
      <c r="F430" s="30"/>
      <c r="G430" s="30"/>
      <c r="H430" s="30"/>
      <c r="I430" s="30"/>
      <c r="J430" s="30"/>
      <c r="K430" s="30"/>
      <c r="L430" s="30"/>
      <c r="M430" s="30"/>
      <c r="N430" s="30"/>
      <c r="R430" s="240"/>
    </row>
    <row r="431">
      <c r="A431" s="30"/>
      <c r="B431" s="249"/>
      <c r="C431" s="249"/>
      <c r="D431" s="30"/>
      <c r="E431" s="30"/>
      <c r="F431" s="30"/>
      <c r="G431" s="30"/>
      <c r="H431" s="30"/>
      <c r="I431" s="30"/>
      <c r="J431" s="30"/>
      <c r="K431" s="30"/>
      <c r="L431" s="30"/>
      <c r="M431" s="30"/>
      <c r="N431" s="30"/>
      <c r="R431" s="240"/>
    </row>
    <row r="432">
      <c r="A432" s="30"/>
      <c r="B432" s="249"/>
      <c r="C432" s="249"/>
      <c r="D432" s="30"/>
      <c r="E432" s="30"/>
      <c r="F432" s="30"/>
      <c r="G432" s="30"/>
      <c r="H432" s="30"/>
      <c r="I432" s="30"/>
      <c r="J432" s="30"/>
      <c r="K432" s="30"/>
      <c r="L432" s="30"/>
      <c r="M432" s="30"/>
      <c r="N432" s="30"/>
      <c r="R432" s="240"/>
    </row>
    <row r="433">
      <c r="A433" s="30"/>
      <c r="B433" s="249"/>
      <c r="C433" s="249"/>
      <c r="D433" s="30"/>
      <c r="E433" s="30"/>
      <c r="F433" s="30"/>
      <c r="G433" s="30"/>
      <c r="H433" s="30"/>
      <c r="I433" s="30"/>
      <c r="J433" s="30"/>
      <c r="K433" s="30"/>
      <c r="L433" s="30"/>
      <c r="M433" s="30"/>
      <c r="N433" s="30"/>
      <c r="R433" s="240"/>
    </row>
    <row r="434">
      <c r="A434" s="30"/>
      <c r="B434" s="249"/>
      <c r="C434" s="249"/>
      <c r="D434" s="30"/>
      <c r="E434" s="30"/>
      <c r="F434" s="30"/>
      <c r="G434" s="30"/>
      <c r="H434" s="30"/>
      <c r="I434" s="30"/>
      <c r="J434" s="30"/>
      <c r="K434" s="30"/>
      <c r="L434" s="30"/>
      <c r="M434" s="30"/>
      <c r="N434" s="30"/>
      <c r="R434" s="240"/>
    </row>
    <row r="435">
      <c r="A435" s="30"/>
      <c r="B435" s="249"/>
      <c r="C435" s="249"/>
      <c r="D435" s="30"/>
      <c r="E435" s="30"/>
      <c r="F435" s="30"/>
      <c r="G435" s="30"/>
      <c r="H435" s="30"/>
      <c r="I435" s="30"/>
      <c r="J435" s="30"/>
      <c r="K435" s="30"/>
      <c r="L435" s="30"/>
      <c r="M435" s="30"/>
      <c r="N435" s="30"/>
      <c r="R435" s="240"/>
    </row>
    <row r="436">
      <c r="A436" s="30"/>
      <c r="B436" s="249"/>
      <c r="C436" s="249"/>
      <c r="D436" s="30"/>
      <c r="E436" s="30"/>
      <c r="F436" s="30"/>
      <c r="G436" s="30"/>
      <c r="H436" s="30"/>
      <c r="I436" s="30"/>
      <c r="J436" s="30"/>
      <c r="K436" s="30"/>
      <c r="L436" s="30"/>
      <c r="M436" s="30"/>
      <c r="N436" s="30"/>
      <c r="R436" s="240"/>
    </row>
    <row r="437">
      <c r="A437" s="30"/>
      <c r="B437" s="249"/>
      <c r="C437" s="249"/>
      <c r="D437" s="30"/>
      <c r="E437" s="30"/>
      <c r="F437" s="30"/>
      <c r="G437" s="30"/>
      <c r="H437" s="30"/>
      <c r="I437" s="30"/>
      <c r="J437" s="30"/>
      <c r="K437" s="30"/>
      <c r="L437" s="30"/>
      <c r="M437" s="30"/>
      <c r="N437" s="30"/>
      <c r="R437" s="240"/>
    </row>
    <row r="438">
      <c r="A438" s="30"/>
      <c r="B438" s="249"/>
      <c r="C438" s="249"/>
      <c r="D438" s="30"/>
      <c r="E438" s="30"/>
      <c r="F438" s="30"/>
      <c r="G438" s="30"/>
      <c r="H438" s="30"/>
      <c r="I438" s="30"/>
      <c r="J438" s="30"/>
      <c r="K438" s="30"/>
      <c r="L438" s="30"/>
      <c r="M438" s="30"/>
      <c r="N438" s="30"/>
      <c r="R438" s="240"/>
    </row>
    <row r="439">
      <c r="A439" s="30"/>
      <c r="B439" s="249"/>
      <c r="C439" s="249"/>
      <c r="D439" s="30"/>
      <c r="E439" s="30"/>
      <c r="F439" s="30"/>
      <c r="G439" s="30"/>
      <c r="H439" s="30"/>
      <c r="I439" s="30"/>
      <c r="J439" s="30"/>
      <c r="K439" s="30"/>
      <c r="L439" s="30"/>
      <c r="M439" s="30"/>
      <c r="N439" s="30"/>
      <c r="R439" s="240"/>
    </row>
    <row r="440">
      <c r="A440" s="30"/>
      <c r="B440" s="249"/>
      <c r="C440" s="249"/>
      <c r="D440" s="30"/>
      <c r="E440" s="30"/>
      <c r="F440" s="30"/>
      <c r="G440" s="30"/>
      <c r="H440" s="30"/>
      <c r="I440" s="30"/>
      <c r="J440" s="30"/>
      <c r="K440" s="30"/>
      <c r="L440" s="30"/>
      <c r="M440" s="30"/>
      <c r="N440" s="30"/>
      <c r="R440" s="240"/>
    </row>
    <row r="441">
      <c r="A441" s="30"/>
      <c r="B441" s="249"/>
      <c r="C441" s="249"/>
      <c r="D441" s="30"/>
      <c r="E441" s="30"/>
      <c r="F441" s="30"/>
      <c r="G441" s="30"/>
      <c r="H441" s="30"/>
      <c r="I441" s="30"/>
      <c r="J441" s="30"/>
      <c r="K441" s="30"/>
      <c r="L441" s="30"/>
      <c r="M441" s="30"/>
      <c r="N441" s="30"/>
      <c r="R441" s="240"/>
    </row>
    <row r="442">
      <c r="A442" s="30"/>
      <c r="B442" s="249"/>
      <c r="C442" s="249"/>
      <c r="D442" s="30"/>
      <c r="E442" s="30"/>
      <c r="F442" s="30"/>
      <c r="G442" s="30"/>
      <c r="H442" s="30"/>
      <c r="I442" s="30"/>
      <c r="J442" s="30"/>
      <c r="K442" s="30"/>
      <c r="L442" s="30"/>
      <c r="M442" s="30"/>
      <c r="N442" s="30"/>
      <c r="R442" s="240"/>
    </row>
    <row r="443">
      <c r="A443" s="30"/>
      <c r="B443" s="249"/>
      <c r="C443" s="249"/>
      <c r="D443" s="30"/>
      <c r="E443" s="30"/>
      <c r="F443" s="30"/>
      <c r="G443" s="30"/>
      <c r="H443" s="30"/>
      <c r="I443" s="30"/>
      <c r="J443" s="30"/>
      <c r="K443" s="30"/>
      <c r="L443" s="30"/>
      <c r="M443" s="30"/>
      <c r="N443" s="30"/>
      <c r="R443" s="240"/>
    </row>
    <row r="444">
      <c r="A444" s="30"/>
      <c r="B444" s="249"/>
      <c r="C444" s="249"/>
      <c r="D444" s="30"/>
      <c r="E444" s="30"/>
      <c r="F444" s="30"/>
      <c r="G444" s="30"/>
      <c r="H444" s="30"/>
      <c r="I444" s="30"/>
      <c r="J444" s="30"/>
      <c r="K444" s="30"/>
      <c r="L444" s="30"/>
      <c r="M444" s="30"/>
      <c r="N444" s="30"/>
      <c r="R444" s="240"/>
    </row>
    <row r="445">
      <c r="A445" s="30"/>
      <c r="B445" s="249"/>
      <c r="C445" s="249"/>
      <c r="D445" s="30"/>
      <c r="E445" s="30"/>
      <c r="F445" s="30"/>
      <c r="G445" s="30"/>
      <c r="H445" s="30"/>
      <c r="I445" s="30"/>
      <c r="J445" s="30"/>
      <c r="K445" s="30"/>
      <c r="L445" s="30"/>
      <c r="M445" s="30"/>
      <c r="N445" s="30"/>
      <c r="R445" s="240"/>
    </row>
    <row r="446">
      <c r="A446" s="30"/>
      <c r="B446" s="249"/>
      <c r="C446" s="249"/>
      <c r="D446" s="30"/>
      <c r="E446" s="30"/>
      <c r="F446" s="30"/>
      <c r="G446" s="30"/>
      <c r="H446" s="30"/>
      <c r="I446" s="30"/>
      <c r="J446" s="30"/>
      <c r="K446" s="30"/>
      <c r="L446" s="30"/>
      <c r="M446" s="30"/>
      <c r="N446" s="30"/>
      <c r="R446" s="240"/>
    </row>
    <row r="447">
      <c r="A447" s="30"/>
      <c r="B447" s="249"/>
      <c r="C447" s="249"/>
      <c r="D447" s="30"/>
      <c r="E447" s="30"/>
      <c r="F447" s="30"/>
      <c r="G447" s="30"/>
      <c r="H447" s="30"/>
      <c r="I447" s="30"/>
      <c r="J447" s="30"/>
      <c r="K447" s="30"/>
      <c r="L447" s="30"/>
      <c r="M447" s="30"/>
      <c r="N447" s="30"/>
      <c r="R447" s="240"/>
    </row>
    <row r="448">
      <c r="A448" s="30"/>
      <c r="B448" s="249"/>
      <c r="C448" s="249"/>
      <c r="D448" s="30"/>
      <c r="E448" s="30"/>
      <c r="F448" s="30"/>
      <c r="G448" s="30"/>
      <c r="H448" s="30"/>
      <c r="I448" s="30"/>
      <c r="J448" s="30"/>
      <c r="K448" s="30"/>
      <c r="L448" s="30"/>
      <c r="M448" s="30"/>
      <c r="N448" s="30"/>
      <c r="R448" s="240"/>
    </row>
    <row r="449">
      <c r="A449" s="30"/>
      <c r="B449" s="249"/>
      <c r="C449" s="249"/>
      <c r="D449" s="30"/>
      <c r="E449" s="30"/>
      <c r="F449" s="30"/>
      <c r="G449" s="30"/>
      <c r="H449" s="30"/>
      <c r="I449" s="30"/>
      <c r="J449" s="30"/>
      <c r="K449" s="30"/>
      <c r="L449" s="30"/>
      <c r="M449" s="30"/>
      <c r="N449" s="30"/>
      <c r="R449" s="240"/>
    </row>
    <row r="450">
      <c r="A450" s="30"/>
      <c r="B450" s="249"/>
      <c r="C450" s="249"/>
      <c r="D450" s="30"/>
      <c r="E450" s="30"/>
      <c r="F450" s="30"/>
      <c r="G450" s="30"/>
      <c r="H450" s="30"/>
      <c r="I450" s="30"/>
      <c r="J450" s="30"/>
      <c r="K450" s="30"/>
      <c r="L450" s="30"/>
      <c r="M450" s="30"/>
      <c r="N450" s="30"/>
      <c r="R450" s="240"/>
    </row>
    <row r="451">
      <c r="A451" s="30"/>
      <c r="B451" s="249"/>
      <c r="C451" s="249"/>
      <c r="D451" s="30"/>
      <c r="E451" s="30"/>
      <c r="F451" s="30"/>
      <c r="G451" s="30"/>
      <c r="H451" s="30"/>
      <c r="I451" s="30"/>
      <c r="J451" s="30"/>
      <c r="K451" s="30"/>
      <c r="L451" s="30"/>
      <c r="M451" s="30"/>
      <c r="N451" s="30"/>
      <c r="R451" s="240"/>
    </row>
    <row r="452">
      <c r="A452" s="30"/>
      <c r="B452" s="249"/>
      <c r="C452" s="249"/>
      <c r="D452" s="30"/>
      <c r="E452" s="30"/>
      <c r="F452" s="30"/>
      <c r="G452" s="30"/>
      <c r="H452" s="30"/>
      <c r="I452" s="30"/>
      <c r="J452" s="30"/>
      <c r="K452" s="30"/>
      <c r="L452" s="30"/>
      <c r="M452" s="30"/>
      <c r="N452" s="30"/>
      <c r="R452" s="240"/>
    </row>
    <row r="453">
      <c r="A453" s="30"/>
      <c r="B453" s="249"/>
      <c r="C453" s="249"/>
      <c r="D453" s="30"/>
      <c r="E453" s="30"/>
      <c r="F453" s="30"/>
      <c r="G453" s="30"/>
      <c r="H453" s="30"/>
      <c r="I453" s="30"/>
      <c r="J453" s="30"/>
      <c r="K453" s="30"/>
      <c r="L453" s="30"/>
      <c r="M453" s="30"/>
      <c r="N453" s="30"/>
      <c r="R453" s="240"/>
    </row>
    <row r="454">
      <c r="A454" s="30"/>
      <c r="B454" s="249"/>
      <c r="C454" s="249"/>
      <c r="D454" s="30"/>
      <c r="E454" s="30"/>
      <c r="F454" s="30"/>
      <c r="G454" s="30"/>
      <c r="H454" s="30"/>
      <c r="I454" s="30"/>
      <c r="J454" s="30"/>
      <c r="K454" s="30"/>
      <c r="L454" s="30"/>
      <c r="M454" s="30"/>
      <c r="N454" s="30"/>
      <c r="R454" s="240"/>
    </row>
    <row r="455">
      <c r="A455" s="30"/>
      <c r="B455" s="249"/>
      <c r="C455" s="249"/>
      <c r="D455" s="30"/>
      <c r="E455" s="30"/>
      <c r="F455" s="30"/>
      <c r="G455" s="30"/>
      <c r="H455" s="30"/>
      <c r="I455" s="30"/>
      <c r="J455" s="30"/>
      <c r="K455" s="30"/>
      <c r="L455" s="30"/>
      <c r="M455" s="30"/>
      <c r="N455" s="30"/>
      <c r="R455" s="240"/>
    </row>
    <row r="456">
      <c r="A456" s="30"/>
      <c r="B456" s="249"/>
      <c r="C456" s="249"/>
      <c r="D456" s="30"/>
      <c r="E456" s="30"/>
      <c r="F456" s="30"/>
      <c r="G456" s="30"/>
      <c r="H456" s="30"/>
      <c r="I456" s="30"/>
      <c r="J456" s="30"/>
      <c r="K456" s="30"/>
      <c r="L456" s="30"/>
      <c r="M456" s="30"/>
      <c r="N456" s="30"/>
      <c r="R456" s="240"/>
    </row>
    <row r="457">
      <c r="A457" s="30"/>
      <c r="B457" s="249"/>
      <c r="C457" s="249"/>
      <c r="D457" s="30"/>
      <c r="E457" s="30"/>
      <c r="F457" s="30"/>
      <c r="G457" s="30"/>
      <c r="H457" s="30"/>
      <c r="I457" s="30"/>
      <c r="J457" s="30"/>
      <c r="K457" s="30"/>
      <c r="L457" s="30"/>
      <c r="M457" s="30"/>
      <c r="N457" s="30"/>
      <c r="R457" s="240"/>
    </row>
    <row r="458">
      <c r="A458" s="30"/>
      <c r="B458" s="249"/>
      <c r="C458" s="249"/>
      <c r="D458" s="30"/>
      <c r="E458" s="30"/>
      <c r="F458" s="30"/>
      <c r="G458" s="30"/>
      <c r="H458" s="30"/>
      <c r="I458" s="30"/>
      <c r="J458" s="30"/>
      <c r="K458" s="30"/>
      <c r="L458" s="30"/>
      <c r="M458" s="30"/>
      <c r="N458" s="30"/>
      <c r="R458" s="240"/>
    </row>
    <row r="459">
      <c r="A459" s="30"/>
      <c r="B459" s="249"/>
      <c r="C459" s="249"/>
      <c r="D459" s="30"/>
      <c r="E459" s="30"/>
      <c r="F459" s="30"/>
      <c r="G459" s="30"/>
      <c r="H459" s="30"/>
      <c r="I459" s="30"/>
      <c r="J459" s="30"/>
      <c r="K459" s="30"/>
      <c r="L459" s="30"/>
      <c r="M459" s="30"/>
      <c r="N459" s="30"/>
      <c r="R459" s="240"/>
    </row>
    <row r="460">
      <c r="A460" s="30"/>
      <c r="B460" s="249"/>
      <c r="C460" s="249"/>
      <c r="D460" s="30"/>
      <c r="E460" s="30"/>
      <c r="F460" s="30"/>
      <c r="G460" s="30"/>
      <c r="H460" s="30"/>
      <c r="I460" s="30"/>
      <c r="J460" s="30"/>
      <c r="K460" s="30"/>
      <c r="L460" s="30"/>
      <c r="M460" s="30"/>
      <c r="N460" s="30"/>
      <c r="R460" s="240"/>
    </row>
    <row r="461">
      <c r="A461" s="30"/>
      <c r="B461" s="249"/>
      <c r="C461" s="249"/>
      <c r="D461" s="30"/>
      <c r="E461" s="30"/>
      <c r="F461" s="30"/>
      <c r="G461" s="30"/>
      <c r="H461" s="30"/>
      <c r="I461" s="30"/>
      <c r="J461" s="30"/>
      <c r="K461" s="30"/>
      <c r="L461" s="30"/>
      <c r="M461" s="30"/>
      <c r="N461" s="30"/>
      <c r="R461" s="240"/>
    </row>
    <row r="462">
      <c r="A462" s="30"/>
      <c r="B462" s="249"/>
      <c r="C462" s="249"/>
      <c r="D462" s="30"/>
      <c r="E462" s="30"/>
      <c r="F462" s="30"/>
      <c r="G462" s="30"/>
      <c r="H462" s="30"/>
      <c r="I462" s="30"/>
      <c r="J462" s="30"/>
      <c r="K462" s="30"/>
      <c r="L462" s="30"/>
      <c r="M462" s="30"/>
      <c r="N462" s="30"/>
      <c r="R462" s="240"/>
    </row>
    <row r="463">
      <c r="A463" s="30"/>
      <c r="B463" s="249"/>
      <c r="C463" s="249"/>
      <c r="D463" s="30"/>
      <c r="E463" s="30"/>
      <c r="F463" s="30"/>
      <c r="G463" s="30"/>
      <c r="H463" s="30"/>
      <c r="I463" s="30"/>
      <c r="J463" s="30"/>
      <c r="K463" s="30"/>
      <c r="L463" s="30"/>
      <c r="M463" s="30"/>
      <c r="N463" s="30"/>
      <c r="R463" s="240"/>
    </row>
    <row r="464">
      <c r="A464" s="30"/>
      <c r="B464" s="249"/>
      <c r="C464" s="249"/>
      <c r="D464" s="30"/>
      <c r="E464" s="30"/>
      <c r="F464" s="30"/>
      <c r="G464" s="30"/>
      <c r="H464" s="30"/>
      <c r="I464" s="30"/>
      <c r="J464" s="30"/>
      <c r="K464" s="30"/>
      <c r="L464" s="30"/>
      <c r="M464" s="30"/>
      <c r="N464" s="30"/>
      <c r="R464" s="240"/>
    </row>
    <row r="465">
      <c r="A465" s="30"/>
      <c r="B465" s="249"/>
      <c r="C465" s="249"/>
      <c r="D465" s="30"/>
      <c r="E465" s="30"/>
      <c r="F465" s="30"/>
      <c r="G465" s="30"/>
      <c r="H465" s="30"/>
      <c r="I465" s="30"/>
      <c r="J465" s="30"/>
      <c r="K465" s="30"/>
      <c r="L465" s="30"/>
      <c r="M465" s="30"/>
      <c r="N465" s="30"/>
      <c r="R465" s="240"/>
    </row>
    <row r="466">
      <c r="A466" s="30"/>
      <c r="B466" s="249"/>
      <c r="C466" s="249"/>
      <c r="D466" s="30"/>
      <c r="E466" s="30"/>
      <c r="F466" s="30"/>
      <c r="G466" s="30"/>
      <c r="H466" s="30"/>
      <c r="I466" s="30"/>
      <c r="J466" s="30"/>
      <c r="K466" s="30"/>
      <c r="L466" s="30"/>
      <c r="M466" s="30"/>
      <c r="N466" s="30"/>
      <c r="R466" s="240"/>
    </row>
    <row r="467">
      <c r="A467" s="30"/>
      <c r="B467" s="249"/>
      <c r="C467" s="249"/>
      <c r="D467" s="30"/>
      <c r="E467" s="30"/>
      <c r="F467" s="30"/>
      <c r="G467" s="30"/>
      <c r="H467" s="30"/>
      <c r="I467" s="30"/>
      <c r="J467" s="30"/>
      <c r="K467" s="30"/>
      <c r="L467" s="30"/>
      <c r="M467" s="30"/>
      <c r="N467" s="30"/>
      <c r="R467" s="240"/>
    </row>
    <row r="468">
      <c r="A468" s="30"/>
      <c r="B468" s="249"/>
      <c r="C468" s="249"/>
      <c r="D468" s="30"/>
      <c r="E468" s="30"/>
      <c r="F468" s="30"/>
      <c r="G468" s="30"/>
      <c r="H468" s="30"/>
      <c r="I468" s="30"/>
      <c r="J468" s="30"/>
      <c r="K468" s="30"/>
      <c r="L468" s="30"/>
      <c r="M468" s="30"/>
      <c r="N468" s="30"/>
      <c r="R468" s="240"/>
    </row>
    <row r="469">
      <c r="A469" s="30"/>
      <c r="B469" s="249"/>
      <c r="C469" s="249"/>
      <c r="D469" s="30"/>
      <c r="E469" s="30"/>
      <c r="F469" s="30"/>
      <c r="G469" s="30"/>
      <c r="H469" s="30"/>
      <c r="I469" s="30"/>
      <c r="J469" s="30"/>
      <c r="K469" s="30"/>
      <c r="L469" s="30"/>
      <c r="M469" s="30"/>
      <c r="N469" s="30"/>
      <c r="R469" s="240"/>
    </row>
    <row r="470">
      <c r="A470" s="30"/>
      <c r="B470" s="249"/>
      <c r="C470" s="249"/>
      <c r="D470" s="30"/>
      <c r="E470" s="30"/>
      <c r="F470" s="30"/>
      <c r="G470" s="30"/>
      <c r="H470" s="30"/>
      <c r="I470" s="30"/>
      <c r="J470" s="30"/>
      <c r="K470" s="30"/>
      <c r="L470" s="30"/>
      <c r="M470" s="30"/>
      <c r="N470" s="30"/>
      <c r="R470" s="240"/>
    </row>
    <row r="471">
      <c r="A471" s="30"/>
      <c r="B471" s="249"/>
      <c r="C471" s="249"/>
      <c r="D471" s="30"/>
      <c r="E471" s="30"/>
      <c r="F471" s="30"/>
      <c r="G471" s="30"/>
      <c r="H471" s="30"/>
      <c r="I471" s="30"/>
      <c r="J471" s="30"/>
      <c r="K471" s="30"/>
      <c r="L471" s="30"/>
      <c r="M471" s="30"/>
      <c r="N471" s="30"/>
      <c r="R471" s="240"/>
    </row>
    <row r="472">
      <c r="A472" s="30"/>
      <c r="B472" s="249"/>
      <c r="C472" s="249"/>
      <c r="D472" s="30"/>
      <c r="E472" s="30"/>
      <c r="F472" s="30"/>
      <c r="G472" s="30"/>
      <c r="H472" s="30"/>
      <c r="I472" s="30"/>
      <c r="J472" s="30"/>
      <c r="K472" s="30"/>
      <c r="L472" s="30"/>
      <c r="M472" s="30"/>
      <c r="N472" s="30"/>
      <c r="R472" s="240"/>
    </row>
    <row r="473">
      <c r="A473" s="30"/>
      <c r="B473" s="249"/>
      <c r="C473" s="249"/>
      <c r="D473" s="30"/>
      <c r="E473" s="30"/>
      <c r="F473" s="30"/>
      <c r="G473" s="30"/>
      <c r="H473" s="30"/>
      <c r="I473" s="30"/>
      <c r="J473" s="30"/>
      <c r="K473" s="30"/>
      <c r="L473" s="30"/>
      <c r="M473" s="30"/>
      <c r="N473" s="30"/>
      <c r="R473" s="240"/>
    </row>
    <row r="474">
      <c r="A474" s="30"/>
      <c r="B474" s="249"/>
      <c r="C474" s="249"/>
      <c r="D474" s="30"/>
      <c r="E474" s="30"/>
      <c r="F474" s="30"/>
      <c r="G474" s="30"/>
      <c r="H474" s="30"/>
      <c r="I474" s="30"/>
      <c r="J474" s="30"/>
      <c r="K474" s="30"/>
      <c r="L474" s="30"/>
      <c r="M474" s="30"/>
      <c r="N474" s="30"/>
      <c r="R474" s="240"/>
    </row>
    <row r="475">
      <c r="A475" s="30"/>
      <c r="B475" s="249"/>
      <c r="C475" s="249"/>
      <c r="D475" s="30"/>
      <c r="E475" s="30"/>
      <c r="F475" s="30"/>
      <c r="G475" s="30"/>
      <c r="H475" s="30"/>
      <c r="I475" s="30"/>
      <c r="J475" s="30"/>
      <c r="K475" s="30"/>
      <c r="L475" s="30"/>
      <c r="M475" s="30"/>
      <c r="N475" s="30"/>
      <c r="R475" s="240"/>
    </row>
    <row r="476">
      <c r="A476" s="30"/>
      <c r="B476" s="249"/>
      <c r="C476" s="249"/>
      <c r="D476" s="30"/>
      <c r="E476" s="30"/>
      <c r="F476" s="30"/>
      <c r="G476" s="30"/>
      <c r="H476" s="30"/>
      <c r="I476" s="30"/>
      <c r="J476" s="30"/>
      <c r="K476" s="30"/>
      <c r="L476" s="30"/>
      <c r="M476" s="30"/>
      <c r="N476" s="30"/>
      <c r="R476" s="240"/>
    </row>
    <row r="477">
      <c r="A477" s="30"/>
      <c r="B477" s="249"/>
      <c r="C477" s="249"/>
      <c r="D477" s="30"/>
      <c r="E477" s="30"/>
      <c r="F477" s="30"/>
      <c r="G477" s="30"/>
      <c r="H477" s="30"/>
      <c r="I477" s="30"/>
      <c r="J477" s="30"/>
      <c r="K477" s="30"/>
      <c r="L477" s="30"/>
      <c r="M477" s="30"/>
      <c r="N477" s="30"/>
      <c r="R477" s="240"/>
    </row>
    <row r="478">
      <c r="A478" s="30"/>
      <c r="B478" s="249"/>
      <c r="C478" s="249"/>
      <c r="D478" s="30"/>
      <c r="E478" s="30"/>
      <c r="F478" s="30"/>
      <c r="G478" s="30"/>
      <c r="H478" s="30"/>
      <c r="I478" s="30"/>
      <c r="J478" s="30"/>
      <c r="K478" s="30"/>
      <c r="L478" s="30"/>
      <c r="M478" s="30"/>
      <c r="N478" s="30"/>
      <c r="R478" s="240"/>
    </row>
    <row r="479">
      <c r="A479" s="30"/>
      <c r="B479" s="249"/>
      <c r="C479" s="249"/>
      <c r="D479" s="30"/>
      <c r="E479" s="30"/>
      <c r="F479" s="30"/>
      <c r="G479" s="30"/>
      <c r="H479" s="30"/>
      <c r="I479" s="30"/>
      <c r="J479" s="30"/>
      <c r="K479" s="30"/>
      <c r="L479" s="30"/>
      <c r="M479" s="30"/>
      <c r="N479" s="30"/>
      <c r="R479" s="240"/>
    </row>
    <row r="480">
      <c r="A480" s="30"/>
      <c r="B480" s="249"/>
      <c r="C480" s="249"/>
      <c r="D480" s="30"/>
      <c r="E480" s="30"/>
      <c r="F480" s="30"/>
      <c r="G480" s="30"/>
      <c r="H480" s="30"/>
      <c r="I480" s="30"/>
      <c r="J480" s="30"/>
      <c r="K480" s="30"/>
      <c r="L480" s="30"/>
      <c r="M480" s="30"/>
      <c r="N480" s="30"/>
      <c r="R480" s="240"/>
    </row>
    <row r="481">
      <c r="A481" s="30"/>
      <c r="B481" s="249"/>
      <c r="C481" s="249"/>
      <c r="D481" s="30"/>
      <c r="E481" s="30"/>
      <c r="F481" s="30"/>
      <c r="G481" s="30"/>
      <c r="H481" s="30"/>
      <c r="I481" s="30"/>
      <c r="J481" s="30"/>
      <c r="K481" s="30"/>
      <c r="L481" s="30"/>
      <c r="M481" s="30"/>
      <c r="N481" s="30"/>
      <c r="R481" s="240"/>
    </row>
    <row r="482">
      <c r="A482" s="30"/>
      <c r="B482" s="249"/>
      <c r="C482" s="249"/>
      <c r="D482" s="30"/>
      <c r="E482" s="30"/>
      <c r="F482" s="30"/>
      <c r="G482" s="30"/>
      <c r="H482" s="30"/>
      <c r="I482" s="30"/>
      <c r="J482" s="30"/>
      <c r="K482" s="30"/>
      <c r="L482" s="30"/>
      <c r="M482" s="30"/>
      <c r="N482" s="30"/>
      <c r="R482" s="240"/>
    </row>
    <row r="483">
      <c r="A483" s="30"/>
      <c r="B483" s="249"/>
      <c r="C483" s="249"/>
      <c r="D483" s="30"/>
      <c r="E483" s="30"/>
      <c r="F483" s="30"/>
      <c r="G483" s="30"/>
      <c r="H483" s="30"/>
      <c r="I483" s="30"/>
      <c r="J483" s="30"/>
      <c r="K483" s="30"/>
      <c r="L483" s="30"/>
      <c r="M483" s="30"/>
      <c r="N483" s="30"/>
      <c r="R483" s="240"/>
    </row>
    <row r="484">
      <c r="A484" s="30"/>
      <c r="B484" s="249"/>
      <c r="C484" s="249"/>
      <c r="D484" s="30"/>
      <c r="E484" s="30"/>
      <c r="F484" s="30"/>
      <c r="G484" s="30"/>
      <c r="H484" s="30"/>
      <c r="I484" s="30"/>
      <c r="J484" s="30"/>
      <c r="K484" s="30"/>
      <c r="L484" s="30"/>
      <c r="M484" s="30"/>
      <c r="N484" s="30"/>
      <c r="R484" s="240"/>
    </row>
    <row r="485">
      <c r="A485" s="30"/>
      <c r="B485" s="249"/>
      <c r="C485" s="249"/>
      <c r="D485" s="30"/>
      <c r="E485" s="30"/>
      <c r="F485" s="30"/>
      <c r="G485" s="30"/>
      <c r="H485" s="30"/>
      <c r="I485" s="30"/>
      <c r="J485" s="30"/>
      <c r="K485" s="30"/>
      <c r="L485" s="30"/>
      <c r="M485" s="30"/>
      <c r="N485" s="30"/>
      <c r="R485" s="240"/>
    </row>
    <row r="486">
      <c r="A486" s="30"/>
      <c r="B486" s="249"/>
      <c r="C486" s="249"/>
      <c r="D486" s="30"/>
      <c r="E486" s="30"/>
      <c r="F486" s="30"/>
      <c r="G486" s="30"/>
      <c r="H486" s="30"/>
      <c r="I486" s="30"/>
      <c r="J486" s="30"/>
      <c r="K486" s="30"/>
      <c r="L486" s="30"/>
      <c r="M486" s="30"/>
      <c r="N486" s="30"/>
      <c r="R486" s="240"/>
    </row>
    <row r="487">
      <c r="A487" s="30"/>
      <c r="B487" s="249"/>
      <c r="C487" s="249"/>
      <c r="D487" s="30"/>
      <c r="E487" s="30"/>
      <c r="F487" s="30"/>
      <c r="G487" s="30"/>
      <c r="H487" s="30"/>
      <c r="I487" s="30"/>
      <c r="J487" s="30"/>
      <c r="K487" s="30"/>
      <c r="L487" s="30"/>
      <c r="M487" s="30"/>
      <c r="N487" s="30"/>
      <c r="R487" s="240"/>
    </row>
    <row r="488">
      <c r="A488" s="30"/>
      <c r="B488" s="249"/>
      <c r="C488" s="249"/>
      <c r="D488" s="30"/>
      <c r="E488" s="30"/>
      <c r="F488" s="30"/>
      <c r="G488" s="30"/>
      <c r="H488" s="30"/>
      <c r="I488" s="30"/>
      <c r="J488" s="30"/>
      <c r="K488" s="30"/>
      <c r="L488" s="30"/>
      <c r="M488" s="30"/>
      <c r="N488" s="30"/>
      <c r="R488" s="240"/>
    </row>
    <row r="489">
      <c r="A489" s="30"/>
      <c r="B489" s="249"/>
      <c r="C489" s="249"/>
      <c r="D489" s="30"/>
      <c r="E489" s="30"/>
      <c r="F489" s="30"/>
      <c r="G489" s="30"/>
      <c r="H489" s="30"/>
      <c r="I489" s="30"/>
      <c r="J489" s="30"/>
      <c r="K489" s="30"/>
      <c r="L489" s="30"/>
      <c r="M489" s="30"/>
      <c r="N489" s="30"/>
      <c r="R489" s="240"/>
    </row>
    <row r="490">
      <c r="A490" s="30"/>
      <c r="B490" s="249"/>
      <c r="C490" s="249"/>
      <c r="D490" s="30"/>
      <c r="E490" s="30"/>
      <c r="F490" s="30"/>
      <c r="G490" s="30"/>
      <c r="H490" s="30"/>
      <c r="I490" s="30"/>
      <c r="J490" s="30"/>
      <c r="K490" s="30"/>
      <c r="L490" s="30"/>
      <c r="M490" s="30"/>
      <c r="N490" s="30"/>
      <c r="R490" s="240"/>
    </row>
    <row r="491">
      <c r="A491" s="30"/>
      <c r="B491" s="249"/>
      <c r="C491" s="249"/>
      <c r="D491" s="30"/>
      <c r="E491" s="30"/>
      <c r="F491" s="30"/>
      <c r="G491" s="30"/>
      <c r="H491" s="30"/>
      <c r="I491" s="30"/>
      <c r="J491" s="30"/>
      <c r="K491" s="30"/>
      <c r="L491" s="30"/>
      <c r="M491" s="30"/>
      <c r="N491" s="30"/>
      <c r="R491" s="240"/>
    </row>
    <row r="492">
      <c r="A492" s="30"/>
      <c r="B492" s="249"/>
      <c r="C492" s="249"/>
      <c r="D492" s="30"/>
      <c r="E492" s="30"/>
      <c r="F492" s="30"/>
      <c r="G492" s="30"/>
      <c r="H492" s="30"/>
      <c r="I492" s="30"/>
      <c r="J492" s="30"/>
      <c r="K492" s="30"/>
      <c r="L492" s="30"/>
      <c r="M492" s="30"/>
      <c r="N492" s="30"/>
      <c r="R492" s="240"/>
    </row>
    <row r="493">
      <c r="A493" s="30"/>
      <c r="B493" s="249"/>
      <c r="C493" s="249"/>
      <c r="D493" s="30"/>
      <c r="E493" s="30"/>
      <c r="F493" s="30"/>
      <c r="G493" s="30"/>
      <c r="H493" s="30"/>
      <c r="I493" s="30"/>
      <c r="J493" s="30"/>
      <c r="K493" s="30"/>
      <c r="L493" s="30"/>
      <c r="M493" s="30"/>
      <c r="N493" s="30"/>
      <c r="R493" s="240"/>
    </row>
    <row r="494">
      <c r="A494" s="30"/>
      <c r="B494" s="249"/>
      <c r="C494" s="249"/>
      <c r="D494" s="30"/>
      <c r="E494" s="30"/>
      <c r="F494" s="30"/>
      <c r="G494" s="30"/>
      <c r="H494" s="30"/>
      <c r="I494" s="30"/>
      <c r="J494" s="30"/>
      <c r="K494" s="30"/>
      <c r="L494" s="30"/>
      <c r="M494" s="30"/>
      <c r="N494" s="30"/>
      <c r="R494" s="240"/>
    </row>
    <row r="495">
      <c r="A495" s="30"/>
      <c r="B495" s="249"/>
      <c r="C495" s="249"/>
      <c r="D495" s="30"/>
      <c r="E495" s="30"/>
      <c r="F495" s="30"/>
      <c r="G495" s="30"/>
      <c r="H495" s="30"/>
      <c r="I495" s="30"/>
      <c r="J495" s="30"/>
      <c r="K495" s="30"/>
      <c r="L495" s="30"/>
      <c r="M495" s="30"/>
      <c r="N495" s="30"/>
      <c r="R495" s="240"/>
    </row>
    <row r="496">
      <c r="A496" s="30"/>
      <c r="B496" s="249"/>
      <c r="C496" s="249"/>
      <c r="D496" s="30"/>
      <c r="E496" s="30"/>
      <c r="F496" s="30"/>
      <c r="G496" s="30"/>
      <c r="H496" s="30"/>
      <c r="I496" s="30"/>
      <c r="J496" s="30"/>
      <c r="K496" s="30"/>
      <c r="L496" s="30"/>
      <c r="M496" s="30"/>
      <c r="N496" s="30"/>
      <c r="R496" s="240"/>
    </row>
    <row r="497">
      <c r="A497" s="30"/>
      <c r="B497" s="249"/>
      <c r="C497" s="249"/>
      <c r="D497" s="30"/>
      <c r="E497" s="30"/>
      <c r="F497" s="30"/>
      <c r="G497" s="30"/>
      <c r="H497" s="30"/>
      <c r="I497" s="30"/>
      <c r="J497" s="30"/>
      <c r="K497" s="30"/>
      <c r="L497" s="30"/>
      <c r="M497" s="30"/>
      <c r="N497" s="30"/>
      <c r="R497" s="240"/>
    </row>
    <row r="498">
      <c r="A498" s="30"/>
      <c r="B498" s="249"/>
      <c r="C498" s="249"/>
      <c r="D498" s="30"/>
      <c r="E498" s="30"/>
      <c r="F498" s="30"/>
      <c r="G498" s="30"/>
      <c r="H498" s="30"/>
      <c r="I498" s="30"/>
      <c r="J498" s="30"/>
      <c r="K498" s="30"/>
      <c r="L498" s="30"/>
      <c r="M498" s="30"/>
      <c r="N498" s="30"/>
      <c r="R498" s="240"/>
    </row>
    <row r="499">
      <c r="A499" s="30"/>
      <c r="B499" s="249"/>
      <c r="C499" s="249"/>
      <c r="D499" s="30"/>
      <c r="E499" s="30"/>
      <c r="F499" s="30"/>
      <c r="G499" s="30"/>
      <c r="H499" s="30"/>
      <c r="I499" s="30"/>
      <c r="J499" s="30"/>
      <c r="K499" s="30"/>
      <c r="L499" s="30"/>
      <c r="M499" s="30"/>
      <c r="N499" s="30"/>
      <c r="R499" s="240"/>
    </row>
    <row r="500">
      <c r="A500" s="30"/>
      <c r="B500" s="249"/>
      <c r="C500" s="249"/>
      <c r="D500" s="30"/>
      <c r="E500" s="30"/>
      <c r="F500" s="30"/>
      <c r="G500" s="30"/>
      <c r="H500" s="30"/>
      <c r="I500" s="30"/>
      <c r="J500" s="30"/>
      <c r="K500" s="30"/>
      <c r="L500" s="30"/>
      <c r="M500" s="30"/>
      <c r="N500" s="30"/>
      <c r="R500" s="240"/>
    </row>
    <row r="501">
      <c r="A501" s="30"/>
      <c r="B501" s="249"/>
      <c r="C501" s="249"/>
      <c r="D501" s="30"/>
      <c r="E501" s="30"/>
      <c r="F501" s="30"/>
      <c r="G501" s="30"/>
      <c r="H501" s="30"/>
      <c r="I501" s="30"/>
      <c r="J501" s="30"/>
      <c r="K501" s="30"/>
      <c r="L501" s="30"/>
      <c r="M501" s="30"/>
      <c r="N501" s="30"/>
      <c r="R501" s="240"/>
    </row>
    <row r="502">
      <c r="A502" s="30"/>
      <c r="B502" s="249"/>
      <c r="C502" s="249"/>
      <c r="D502" s="30"/>
      <c r="E502" s="30"/>
      <c r="F502" s="30"/>
      <c r="G502" s="30"/>
      <c r="H502" s="30"/>
      <c r="I502" s="30"/>
      <c r="J502" s="30"/>
      <c r="K502" s="30"/>
      <c r="L502" s="30"/>
      <c r="M502" s="30"/>
      <c r="N502" s="30"/>
      <c r="R502" s="240"/>
    </row>
    <row r="503">
      <c r="A503" s="30"/>
      <c r="B503" s="249"/>
      <c r="C503" s="249"/>
      <c r="D503" s="30"/>
      <c r="E503" s="30"/>
      <c r="F503" s="30"/>
      <c r="G503" s="30"/>
      <c r="H503" s="30"/>
      <c r="I503" s="30"/>
      <c r="J503" s="30"/>
      <c r="K503" s="30"/>
      <c r="L503" s="30"/>
      <c r="M503" s="30"/>
      <c r="N503" s="30"/>
      <c r="R503" s="240"/>
    </row>
    <row r="504">
      <c r="A504" s="30"/>
      <c r="B504" s="249"/>
      <c r="C504" s="249"/>
      <c r="D504" s="30"/>
      <c r="E504" s="30"/>
      <c r="F504" s="30"/>
      <c r="G504" s="30"/>
      <c r="H504" s="30"/>
      <c r="I504" s="30"/>
      <c r="J504" s="30"/>
      <c r="K504" s="30"/>
      <c r="L504" s="30"/>
      <c r="M504" s="30"/>
      <c r="N504" s="30"/>
      <c r="R504" s="240"/>
    </row>
    <row r="505">
      <c r="A505" s="30"/>
      <c r="B505" s="249"/>
      <c r="C505" s="249"/>
      <c r="D505" s="30"/>
      <c r="E505" s="30"/>
      <c r="F505" s="30"/>
      <c r="G505" s="30"/>
      <c r="H505" s="30"/>
      <c r="I505" s="30"/>
      <c r="J505" s="30"/>
      <c r="K505" s="30"/>
      <c r="L505" s="30"/>
      <c r="M505" s="30"/>
      <c r="N505" s="30"/>
      <c r="R505" s="240"/>
    </row>
    <row r="506">
      <c r="A506" s="30"/>
      <c r="B506" s="249"/>
      <c r="C506" s="249"/>
      <c r="D506" s="30"/>
      <c r="E506" s="30"/>
      <c r="F506" s="30"/>
      <c r="G506" s="30"/>
      <c r="H506" s="30"/>
      <c r="I506" s="30"/>
      <c r="J506" s="30"/>
      <c r="K506" s="30"/>
      <c r="L506" s="30"/>
      <c r="M506" s="30"/>
      <c r="N506" s="30"/>
      <c r="R506" s="240"/>
    </row>
    <row r="507">
      <c r="A507" s="30"/>
      <c r="B507" s="249"/>
      <c r="C507" s="249"/>
      <c r="D507" s="30"/>
      <c r="E507" s="30"/>
      <c r="F507" s="30"/>
      <c r="G507" s="30"/>
      <c r="H507" s="30"/>
      <c r="I507" s="30"/>
      <c r="J507" s="30"/>
      <c r="K507" s="30"/>
      <c r="L507" s="30"/>
      <c r="M507" s="30"/>
      <c r="N507" s="30"/>
      <c r="R507" s="240"/>
    </row>
    <row r="508">
      <c r="A508" s="30"/>
      <c r="B508" s="249"/>
      <c r="C508" s="249"/>
      <c r="D508" s="30"/>
      <c r="E508" s="30"/>
      <c r="F508" s="30"/>
      <c r="G508" s="30"/>
      <c r="H508" s="30"/>
      <c r="I508" s="30"/>
      <c r="J508" s="30"/>
      <c r="K508" s="30"/>
      <c r="L508" s="30"/>
      <c r="M508" s="30"/>
      <c r="N508" s="30"/>
      <c r="R508" s="240"/>
    </row>
    <row r="509">
      <c r="A509" s="30"/>
      <c r="B509" s="249"/>
      <c r="C509" s="249"/>
      <c r="D509" s="30"/>
      <c r="E509" s="30"/>
      <c r="F509" s="30"/>
      <c r="G509" s="30"/>
      <c r="H509" s="30"/>
      <c r="I509" s="30"/>
      <c r="J509" s="30"/>
      <c r="K509" s="30"/>
      <c r="L509" s="30"/>
      <c r="M509" s="30"/>
      <c r="N509" s="30"/>
      <c r="R509" s="240"/>
    </row>
    <row r="510">
      <c r="A510" s="30"/>
      <c r="B510" s="249"/>
      <c r="C510" s="249"/>
      <c r="D510" s="30"/>
      <c r="E510" s="30"/>
      <c r="F510" s="30"/>
      <c r="G510" s="30"/>
      <c r="H510" s="30"/>
      <c r="I510" s="30"/>
      <c r="J510" s="30"/>
      <c r="K510" s="30"/>
      <c r="L510" s="30"/>
      <c r="M510" s="30"/>
      <c r="N510" s="30"/>
      <c r="R510" s="240"/>
    </row>
    <row r="511">
      <c r="A511" s="30"/>
      <c r="B511" s="249"/>
      <c r="C511" s="249"/>
      <c r="D511" s="30"/>
      <c r="E511" s="30"/>
      <c r="F511" s="30"/>
      <c r="G511" s="30"/>
      <c r="H511" s="30"/>
      <c r="I511" s="30"/>
      <c r="J511" s="30"/>
      <c r="K511" s="30"/>
      <c r="L511" s="30"/>
      <c r="M511" s="30"/>
      <c r="N511" s="30"/>
      <c r="R511" s="240"/>
    </row>
    <row r="512">
      <c r="A512" s="30"/>
      <c r="B512" s="249"/>
      <c r="C512" s="249"/>
      <c r="D512" s="30"/>
      <c r="E512" s="30"/>
      <c r="F512" s="30"/>
      <c r="G512" s="30"/>
      <c r="H512" s="30"/>
      <c r="I512" s="30"/>
      <c r="J512" s="30"/>
      <c r="K512" s="30"/>
      <c r="L512" s="30"/>
      <c r="M512" s="30"/>
      <c r="N512" s="30"/>
      <c r="R512" s="240"/>
    </row>
    <row r="513">
      <c r="A513" s="30"/>
      <c r="B513" s="249"/>
      <c r="C513" s="249"/>
      <c r="D513" s="30"/>
      <c r="E513" s="30"/>
      <c r="F513" s="30"/>
      <c r="G513" s="30"/>
      <c r="H513" s="30"/>
      <c r="I513" s="30"/>
      <c r="J513" s="30"/>
      <c r="K513" s="30"/>
      <c r="L513" s="30"/>
      <c r="M513" s="30"/>
      <c r="N513" s="30"/>
      <c r="R513" s="240"/>
    </row>
    <row r="514">
      <c r="A514" s="30"/>
      <c r="B514" s="249"/>
      <c r="C514" s="249"/>
      <c r="D514" s="30"/>
      <c r="E514" s="30"/>
      <c r="F514" s="30"/>
      <c r="G514" s="30"/>
      <c r="H514" s="30"/>
      <c r="I514" s="30"/>
      <c r="J514" s="30"/>
      <c r="K514" s="30"/>
      <c r="L514" s="30"/>
      <c r="M514" s="30"/>
      <c r="N514" s="30"/>
      <c r="R514" s="240"/>
    </row>
    <row r="515">
      <c r="A515" s="30"/>
      <c r="B515" s="249"/>
      <c r="C515" s="249"/>
      <c r="D515" s="30"/>
      <c r="E515" s="30"/>
      <c r="F515" s="30"/>
      <c r="G515" s="30"/>
      <c r="H515" s="30"/>
      <c r="I515" s="30"/>
      <c r="J515" s="30"/>
      <c r="K515" s="30"/>
      <c r="L515" s="30"/>
      <c r="M515" s="30"/>
      <c r="N515" s="30"/>
      <c r="R515" s="240"/>
    </row>
    <row r="516">
      <c r="A516" s="30"/>
      <c r="B516" s="249"/>
      <c r="C516" s="249"/>
      <c r="D516" s="30"/>
      <c r="E516" s="30"/>
      <c r="F516" s="30"/>
      <c r="G516" s="30"/>
      <c r="H516" s="30"/>
      <c r="I516" s="30"/>
      <c r="J516" s="30"/>
      <c r="K516" s="30"/>
      <c r="L516" s="30"/>
      <c r="M516" s="30"/>
      <c r="N516" s="30"/>
      <c r="R516" s="240"/>
    </row>
    <row r="517">
      <c r="A517" s="30"/>
      <c r="B517" s="249"/>
      <c r="C517" s="249"/>
      <c r="D517" s="30"/>
      <c r="E517" s="30"/>
      <c r="F517" s="30"/>
      <c r="G517" s="30"/>
      <c r="H517" s="30"/>
      <c r="I517" s="30"/>
      <c r="J517" s="30"/>
      <c r="K517" s="30"/>
      <c r="L517" s="30"/>
      <c r="M517" s="30"/>
      <c r="N517" s="30"/>
      <c r="R517" s="240"/>
    </row>
    <row r="518">
      <c r="A518" s="30"/>
      <c r="B518" s="249"/>
      <c r="C518" s="249"/>
      <c r="D518" s="30"/>
      <c r="E518" s="30"/>
      <c r="F518" s="30"/>
      <c r="G518" s="30"/>
      <c r="H518" s="30"/>
      <c r="I518" s="30"/>
      <c r="J518" s="30"/>
      <c r="K518" s="30"/>
      <c r="L518" s="30"/>
      <c r="M518" s="30"/>
      <c r="N518" s="30"/>
      <c r="R518" s="240"/>
    </row>
    <row r="519">
      <c r="A519" s="30"/>
      <c r="B519" s="249"/>
      <c r="C519" s="249"/>
      <c r="D519" s="30"/>
      <c r="E519" s="30"/>
      <c r="F519" s="30"/>
      <c r="G519" s="30"/>
      <c r="H519" s="30"/>
      <c r="I519" s="30"/>
      <c r="J519" s="30"/>
      <c r="K519" s="30"/>
      <c r="L519" s="30"/>
      <c r="M519" s="30"/>
      <c r="N519" s="30"/>
      <c r="R519" s="240"/>
    </row>
    <row r="520">
      <c r="A520" s="30"/>
      <c r="B520" s="249"/>
      <c r="C520" s="249"/>
      <c r="D520" s="30"/>
      <c r="E520" s="30"/>
      <c r="F520" s="30"/>
      <c r="G520" s="30"/>
      <c r="H520" s="30"/>
      <c r="I520" s="30"/>
      <c r="J520" s="30"/>
      <c r="K520" s="30"/>
      <c r="L520" s="30"/>
      <c r="M520" s="30"/>
      <c r="N520" s="30"/>
      <c r="R520" s="240"/>
    </row>
    <row r="521">
      <c r="A521" s="30"/>
      <c r="B521" s="249"/>
      <c r="C521" s="249"/>
      <c r="D521" s="30"/>
      <c r="E521" s="30"/>
      <c r="F521" s="30"/>
      <c r="G521" s="30"/>
      <c r="H521" s="30"/>
      <c r="I521" s="30"/>
      <c r="J521" s="30"/>
      <c r="K521" s="30"/>
      <c r="L521" s="30"/>
      <c r="M521" s="30"/>
      <c r="N521" s="30"/>
      <c r="R521" s="240"/>
    </row>
    <row r="522">
      <c r="A522" s="30"/>
      <c r="B522" s="249"/>
      <c r="C522" s="249"/>
      <c r="D522" s="30"/>
      <c r="E522" s="30"/>
      <c r="F522" s="30"/>
      <c r="G522" s="30"/>
      <c r="H522" s="30"/>
      <c r="I522" s="30"/>
      <c r="J522" s="30"/>
      <c r="K522" s="30"/>
      <c r="L522" s="30"/>
      <c r="M522" s="30"/>
      <c r="N522" s="30"/>
      <c r="R522" s="240"/>
    </row>
    <row r="523">
      <c r="A523" s="30"/>
      <c r="B523" s="249"/>
      <c r="C523" s="249"/>
      <c r="D523" s="30"/>
      <c r="E523" s="30"/>
      <c r="F523" s="30"/>
      <c r="G523" s="30"/>
      <c r="H523" s="30"/>
      <c r="I523" s="30"/>
      <c r="J523" s="30"/>
      <c r="K523" s="30"/>
      <c r="L523" s="30"/>
      <c r="M523" s="30"/>
      <c r="N523" s="30"/>
      <c r="R523" s="240"/>
    </row>
    <row r="524">
      <c r="A524" s="30"/>
      <c r="B524" s="249"/>
      <c r="C524" s="249"/>
      <c r="D524" s="30"/>
      <c r="E524" s="30"/>
      <c r="F524" s="30"/>
      <c r="G524" s="30"/>
      <c r="H524" s="30"/>
      <c r="I524" s="30"/>
      <c r="J524" s="30"/>
      <c r="K524" s="30"/>
      <c r="L524" s="30"/>
      <c r="M524" s="30"/>
      <c r="N524" s="30"/>
      <c r="R524" s="240"/>
    </row>
    <row r="525">
      <c r="A525" s="30"/>
      <c r="B525" s="249"/>
      <c r="C525" s="249"/>
      <c r="D525" s="30"/>
      <c r="E525" s="30"/>
      <c r="F525" s="30"/>
      <c r="G525" s="30"/>
      <c r="H525" s="30"/>
      <c r="I525" s="30"/>
      <c r="J525" s="30"/>
      <c r="K525" s="30"/>
      <c r="L525" s="30"/>
      <c r="M525" s="30"/>
      <c r="N525" s="30"/>
      <c r="R525" s="240"/>
    </row>
    <row r="526">
      <c r="A526" s="30"/>
      <c r="B526" s="249"/>
      <c r="C526" s="249"/>
      <c r="D526" s="30"/>
      <c r="E526" s="30"/>
      <c r="F526" s="30"/>
      <c r="G526" s="30"/>
      <c r="H526" s="30"/>
      <c r="I526" s="30"/>
      <c r="J526" s="30"/>
      <c r="K526" s="30"/>
      <c r="L526" s="30"/>
      <c r="M526" s="30"/>
      <c r="N526" s="30"/>
      <c r="R526" s="240"/>
    </row>
    <row r="527">
      <c r="A527" s="30"/>
      <c r="B527" s="249"/>
      <c r="C527" s="249"/>
      <c r="D527" s="30"/>
      <c r="E527" s="30"/>
      <c r="F527" s="30"/>
      <c r="G527" s="30"/>
      <c r="H527" s="30"/>
      <c r="I527" s="30"/>
      <c r="J527" s="30"/>
      <c r="K527" s="30"/>
      <c r="L527" s="30"/>
      <c r="M527" s="30"/>
      <c r="N527" s="30"/>
      <c r="R527" s="240"/>
    </row>
    <row r="528">
      <c r="A528" s="30"/>
      <c r="B528" s="249"/>
      <c r="C528" s="249"/>
      <c r="D528" s="30"/>
      <c r="E528" s="30"/>
      <c r="F528" s="30"/>
      <c r="G528" s="30"/>
      <c r="H528" s="30"/>
      <c r="I528" s="30"/>
      <c r="J528" s="30"/>
      <c r="K528" s="30"/>
      <c r="L528" s="30"/>
      <c r="M528" s="30"/>
      <c r="N528" s="30"/>
      <c r="R528" s="240"/>
    </row>
    <row r="529">
      <c r="A529" s="30"/>
      <c r="B529" s="249"/>
      <c r="C529" s="249"/>
      <c r="D529" s="30"/>
      <c r="E529" s="30"/>
      <c r="F529" s="30"/>
      <c r="G529" s="30"/>
      <c r="H529" s="30"/>
      <c r="I529" s="30"/>
      <c r="J529" s="30"/>
      <c r="K529" s="30"/>
      <c r="L529" s="30"/>
      <c r="M529" s="30"/>
      <c r="N529" s="30"/>
      <c r="R529" s="240"/>
    </row>
    <row r="530">
      <c r="A530" s="30"/>
      <c r="B530" s="249"/>
      <c r="C530" s="249"/>
      <c r="D530" s="30"/>
      <c r="E530" s="30"/>
      <c r="F530" s="30"/>
      <c r="G530" s="30"/>
      <c r="H530" s="30"/>
      <c r="I530" s="30"/>
      <c r="J530" s="30"/>
      <c r="K530" s="30"/>
      <c r="L530" s="30"/>
      <c r="M530" s="30"/>
      <c r="N530" s="30"/>
      <c r="R530" s="240"/>
    </row>
    <row r="531">
      <c r="A531" s="30"/>
      <c r="B531" s="249"/>
      <c r="C531" s="249"/>
      <c r="D531" s="30"/>
      <c r="E531" s="30"/>
      <c r="F531" s="30"/>
      <c r="G531" s="30"/>
      <c r="H531" s="30"/>
      <c r="I531" s="30"/>
      <c r="J531" s="30"/>
      <c r="K531" s="30"/>
      <c r="L531" s="30"/>
      <c r="M531" s="30"/>
      <c r="N531" s="30"/>
      <c r="R531" s="240"/>
    </row>
    <row r="532">
      <c r="A532" s="30"/>
      <c r="B532" s="249"/>
      <c r="C532" s="249"/>
      <c r="D532" s="30"/>
      <c r="E532" s="30"/>
      <c r="F532" s="30"/>
      <c r="G532" s="30"/>
      <c r="H532" s="30"/>
      <c r="I532" s="30"/>
      <c r="J532" s="30"/>
      <c r="K532" s="30"/>
      <c r="L532" s="30"/>
      <c r="M532" s="30"/>
      <c r="N532" s="30"/>
      <c r="R532" s="240"/>
    </row>
    <row r="533">
      <c r="A533" s="30"/>
      <c r="B533" s="249"/>
      <c r="C533" s="249"/>
      <c r="D533" s="30"/>
      <c r="E533" s="30"/>
      <c r="F533" s="30"/>
      <c r="G533" s="30"/>
      <c r="H533" s="30"/>
      <c r="I533" s="30"/>
      <c r="J533" s="30"/>
      <c r="K533" s="30"/>
      <c r="L533" s="30"/>
      <c r="M533" s="30"/>
      <c r="N533" s="30"/>
      <c r="R533" s="240"/>
    </row>
    <row r="534">
      <c r="A534" s="30"/>
      <c r="B534" s="249"/>
      <c r="C534" s="249"/>
      <c r="D534" s="30"/>
      <c r="E534" s="30"/>
      <c r="F534" s="30"/>
      <c r="G534" s="30"/>
      <c r="H534" s="30"/>
      <c r="I534" s="30"/>
      <c r="J534" s="30"/>
      <c r="K534" s="30"/>
      <c r="L534" s="30"/>
      <c r="M534" s="30"/>
      <c r="N534" s="30"/>
      <c r="R534" s="240"/>
    </row>
    <row r="535">
      <c r="A535" s="30"/>
      <c r="B535" s="249"/>
      <c r="C535" s="249"/>
      <c r="D535" s="30"/>
      <c r="E535" s="30"/>
      <c r="F535" s="30"/>
      <c r="G535" s="30"/>
      <c r="H535" s="30"/>
      <c r="I535" s="30"/>
      <c r="J535" s="30"/>
      <c r="K535" s="30"/>
      <c r="L535" s="30"/>
      <c r="M535" s="30"/>
      <c r="N535" s="30"/>
      <c r="R535" s="240"/>
    </row>
    <row r="536">
      <c r="A536" s="30"/>
      <c r="B536" s="249"/>
      <c r="C536" s="249"/>
      <c r="D536" s="30"/>
      <c r="E536" s="30"/>
      <c r="F536" s="30"/>
      <c r="G536" s="30"/>
      <c r="H536" s="30"/>
      <c r="I536" s="30"/>
      <c r="J536" s="30"/>
      <c r="K536" s="30"/>
      <c r="L536" s="30"/>
      <c r="M536" s="30"/>
      <c r="N536" s="30"/>
      <c r="R536" s="240"/>
    </row>
    <row r="537">
      <c r="A537" s="30"/>
      <c r="B537" s="249"/>
      <c r="C537" s="249"/>
      <c r="D537" s="30"/>
      <c r="E537" s="30"/>
      <c r="F537" s="30"/>
      <c r="G537" s="30"/>
      <c r="H537" s="30"/>
      <c r="I537" s="30"/>
      <c r="J537" s="30"/>
      <c r="K537" s="30"/>
      <c r="L537" s="30"/>
      <c r="M537" s="30"/>
      <c r="N537" s="30"/>
      <c r="R537" s="240"/>
    </row>
    <row r="538">
      <c r="A538" s="30"/>
      <c r="B538" s="249"/>
      <c r="C538" s="249"/>
      <c r="D538" s="30"/>
      <c r="E538" s="30"/>
      <c r="F538" s="30"/>
      <c r="G538" s="30"/>
      <c r="H538" s="30"/>
      <c r="I538" s="30"/>
      <c r="J538" s="30"/>
      <c r="K538" s="30"/>
      <c r="L538" s="30"/>
      <c r="M538" s="30"/>
      <c r="N538" s="30"/>
      <c r="R538" s="240"/>
    </row>
    <row r="539">
      <c r="A539" s="30"/>
      <c r="B539" s="249"/>
      <c r="C539" s="249"/>
      <c r="D539" s="30"/>
      <c r="E539" s="30"/>
      <c r="F539" s="30"/>
      <c r="G539" s="30"/>
      <c r="H539" s="30"/>
      <c r="I539" s="30"/>
      <c r="J539" s="30"/>
      <c r="K539" s="30"/>
      <c r="L539" s="30"/>
      <c r="M539" s="30"/>
      <c r="N539" s="30"/>
      <c r="R539" s="240"/>
    </row>
    <row r="540">
      <c r="A540" s="30"/>
      <c r="B540" s="249"/>
      <c r="C540" s="249"/>
      <c r="D540" s="30"/>
      <c r="E540" s="30"/>
      <c r="F540" s="30"/>
      <c r="G540" s="30"/>
      <c r="H540" s="30"/>
      <c r="I540" s="30"/>
      <c r="J540" s="30"/>
      <c r="K540" s="30"/>
      <c r="L540" s="30"/>
      <c r="M540" s="30"/>
      <c r="N540" s="30"/>
      <c r="R540" s="240"/>
    </row>
    <row r="541">
      <c r="A541" s="30"/>
      <c r="B541" s="249"/>
      <c r="C541" s="249"/>
      <c r="D541" s="30"/>
      <c r="E541" s="30"/>
      <c r="F541" s="30"/>
      <c r="G541" s="30"/>
      <c r="H541" s="30"/>
      <c r="I541" s="30"/>
      <c r="J541" s="30"/>
      <c r="K541" s="30"/>
      <c r="L541" s="30"/>
      <c r="M541" s="30"/>
      <c r="N541" s="30"/>
      <c r="R541" s="240"/>
    </row>
    <row r="542">
      <c r="A542" s="30"/>
      <c r="B542" s="249"/>
      <c r="C542" s="249"/>
      <c r="D542" s="30"/>
      <c r="E542" s="30"/>
      <c r="F542" s="30"/>
      <c r="G542" s="30"/>
      <c r="H542" s="30"/>
      <c r="I542" s="30"/>
      <c r="J542" s="30"/>
      <c r="K542" s="30"/>
      <c r="L542" s="30"/>
      <c r="M542" s="30"/>
      <c r="N542" s="30"/>
      <c r="R542" s="240"/>
    </row>
    <row r="543">
      <c r="A543" s="30"/>
      <c r="B543" s="249"/>
      <c r="C543" s="249"/>
      <c r="D543" s="30"/>
      <c r="E543" s="30"/>
      <c r="F543" s="30"/>
      <c r="G543" s="30"/>
      <c r="H543" s="30"/>
      <c r="I543" s="30"/>
      <c r="J543" s="30"/>
      <c r="K543" s="30"/>
      <c r="L543" s="30"/>
      <c r="M543" s="30"/>
      <c r="N543" s="30"/>
      <c r="R543" s="240"/>
    </row>
    <row r="544">
      <c r="A544" s="30"/>
      <c r="B544" s="249"/>
      <c r="C544" s="249"/>
      <c r="D544" s="30"/>
      <c r="E544" s="30"/>
      <c r="F544" s="30"/>
      <c r="G544" s="30"/>
      <c r="H544" s="30"/>
      <c r="I544" s="30"/>
      <c r="J544" s="30"/>
      <c r="K544" s="30"/>
      <c r="L544" s="30"/>
      <c r="M544" s="30"/>
      <c r="N544" s="30"/>
      <c r="R544" s="240"/>
    </row>
    <row r="545">
      <c r="A545" s="30"/>
      <c r="B545" s="249"/>
      <c r="C545" s="249"/>
      <c r="D545" s="30"/>
      <c r="E545" s="30"/>
      <c r="F545" s="30"/>
      <c r="G545" s="30"/>
      <c r="H545" s="30"/>
      <c r="I545" s="30"/>
      <c r="J545" s="30"/>
      <c r="K545" s="30"/>
      <c r="L545" s="30"/>
      <c r="M545" s="30"/>
      <c r="N545" s="30"/>
      <c r="R545" s="240"/>
    </row>
    <row r="546">
      <c r="A546" s="30"/>
      <c r="B546" s="249"/>
      <c r="C546" s="249"/>
      <c r="D546" s="30"/>
      <c r="E546" s="30"/>
      <c r="F546" s="30"/>
      <c r="G546" s="30"/>
      <c r="H546" s="30"/>
      <c r="I546" s="30"/>
      <c r="J546" s="30"/>
      <c r="K546" s="30"/>
      <c r="L546" s="30"/>
      <c r="M546" s="30"/>
      <c r="N546" s="30"/>
      <c r="R546" s="240"/>
    </row>
    <row r="547">
      <c r="A547" s="30"/>
      <c r="B547" s="249"/>
      <c r="C547" s="249"/>
      <c r="D547" s="30"/>
      <c r="E547" s="30"/>
      <c r="F547" s="30"/>
      <c r="G547" s="30"/>
      <c r="H547" s="30"/>
      <c r="I547" s="30"/>
      <c r="J547" s="30"/>
      <c r="K547" s="30"/>
      <c r="L547" s="30"/>
      <c r="M547" s="30"/>
      <c r="N547" s="30"/>
      <c r="R547" s="240"/>
    </row>
    <row r="548">
      <c r="A548" s="30"/>
      <c r="B548" s="249"/>
      <c r="C548" s="249"/>
      <c r="D548" s="30"/>
      <c r="E548" s="30"/>
      <c r="F548" s="30"/>
      <c r="G548" s="30"/>
      <c r="H548" s="30"/>
      <c r="I548" s="30"/>
      <c r="J548" s="30"/>
      <c r="K548" s="30"/>
      <c r="L548" s="30"/>
      <c r="M548" s="30"/>
      <c r="N548" s="30"/>
      <c r="R548" s="240"/>
    </row>
    <row r="549">
      <c r="A549" s="30"/>
      <c r="B549" s="249"/>
      <c r="C549" s="249"/>
      <c r="D549" s="30"/>
      <c r="E549" s="30"/>
      <c r="F549" s="30"/>
      <c r="G549" s="30"/>
      <c r="H549" s="30"/>
      <c r="I549" s="30"/>
      <c r="J549" s="30"/>
      <c r="K549" s="30"/>
      <c r="L549" s="30"/>
      <c r="M549" s="30"/>
      <c r="N549" s="30"/>
      <c r="R549" s="240"/>
    </row>
    <row r="550">
      <c r="A550" s="30"/>
      <c r="B550" s="249"/>
      <c r="C550" s="249"/>
      <c r="D550" s="30"/>
      <c r="E550" s="30"/>
      <c r="F550" s="30"/>
      <c r="G550" s="30"/>
      <c r="H550" s="30"/>
      <c r="I550" s="30"/>
      <c r="J550" s="30"/>
      <c r="K550" s="30"/>
      <c r="L550" s="30"/>
      <c r="M550" s="30"/>
      <c r="N550" s="30"/>
      <c r="R550" s="240"/>
    </row>
    <row r="551">
      <c r="A551" s="30"/>
      <c r="B551" s="249"/>
      <c r="C551" s="249"/>
      <c r="D551" s="30"/>
      <c r="E551" s="30"/>
      <c r="F551" s="30"/>
      <c r="G551" s="30"/>
      <c r="H551" s="30"/>
      <c r="I551" s="30"/>
      <c r="J551" s="30"/>
      <c r="K551" s="30"/>
      <c r="L551" s="30"/>
      <c r="M551" s="30"/>
      <c r="N551" s="30"/>
      <c r="R551" s="240"/>
    </row>
    <row r="552">
      <c r="A552" s="30"/>
      <c r="B552" s="249"/>
      <c r="C552" s="249"/>
      <c r="D552" s="30"/>
      <c r="E552" s="30"/>
      <c r="F552" s="30"/>
      <c r="G552" s="30"/>
      <c r="H552" s="30"/>
      <c r="I552" s="30"/>
      <c r="J552" s="30"/>
      <c r="K552" s="30"/>
      <c r="L552" s="30"/>
      <c r="M552" s="30"/>
      <c r="N552" s="30"/>
      <c r="R552" s="240"/>
    </row>
    <row r="553">
      <c r="A553" s="30"/>
      <c r="B553" s="249"/>
      <c r="C553" s="249"/>
      <c r="D553" s="30"/>
      <c r="E553" s="30"/>
      <c r="F553" s="30"/>
      <c r="G553" s="30"/>
      <c r="H553" s="30"/>
      <c r="I553" s="30"/>
      <c r="J553" s="30"/>
      <c r="K553" s="30"/>
      <c r="L553" s="30"/>
      <c r="M553" s="30"/>
      <c r="N553" s="30"/>
      <c r="R553" s="240"/>
    </row>
    <row r="554">
      <c r="A554" s="30"/>
      <c r="B554" s="249"/>
      <c r="C554" s="249"/>
      <c r="D554" s="30"/>
      <c r="E554" s="30"/>
      <c r="F554" s="30"/>
      <c r="G554" s="30"/>
      <c r="H554" s="30"/>
      <c r="I554" s="30"/>
      <c r="J554" s="30"/>
      <c r="K554" s="30"/>
      <c r="L554" s="30"/>
      <c r="M554" s="30"/>
      <c r="N554" s="30"/>
      <c r="R554" s="240"/>
    </row>
    <row r="555">
      <c r="A555" s="30"/>
      <c r="B555" s="249"/>
      <c r="C555" s="249"/>
      <c r="D555" s="30"/>
      <c r="E555" s="30"/>
      <c r="F555" s="30"/>
      <c r="G555" s="30"/>
      <c r="H555" s="30"/>
      <c r="I555" s="30"/>
      <c r="J555" s="30"/>
      <c r="K555" s="30"/>
      <c r="L555" s="30"/>
      <c r="M555" s="30"/>
      <c r="N555" s="30"/>
      <c r="R555" s="240"/>
    </row>
    <row r="556">
      <c r="A556" s="30"/>
      <c r="B556" s="249"/>
      <c r="C556" s="249"/>
      <c r="D556" s="30"/>
      <c r="E556" s="30"/>
      <c r="F556" s="30"/>
      <c r="G556" s="30"/>
      <c r="H556" s="30"/>
      <c r="I556" s="30"/>
      <c r="J556" s="30"/>
      <c r="K556" s="30"/>
      <c r="L556" s="30"/>
      <c r="M556" s="30"/>
      <c r="N556" s="30"/>
      <c r="R556" s="240"/>
    </row>
    <row r="557">
      <c r="A557" s="30"/>
      <c r="B557" s="249"/>
      <c r="C557" s="249"/>
      <c r="D557" s="30"/>
      <c r="E557" s="30"/>
      <c r="F557" s="30"/>
      <c r="G557" s="30"/>
      <c r="H557" s="30"/>
      <c r="I557" s="30"/>
      <c r="J557" s="30"/>
      <c r="K557" s="30"/>
      <c r="L557" s="30"/>
      <c r="M557" s="30"/>
      <c r="N557" s="30"/>
      <c r="R557" s="240"/>
    </row>
    <row r="558">
      <c r="A558" s="30"/>
      <c r="B558" s="249"/>
      <c r="C558" s="249"/>
      <c r="D558" s="30"/>
      <c r="E558" s="30"/>
      <c r="F558" s="30"/>
      <c r="G558" s="30"/>
      <c r="H558" s="30"/>
      <c r="I558" s="30"/>
      <c r="J558" s="30"/>
      <c r="K558" s="30"/>
      <c r="L558" s="30"/>
      <c r="M558" s="30"/>
      <c r="N558" s="30"/>
      <c r="R558" s="240"/>
    </row>
    <row r="559">
      <c r="A559" s="30"/>
      <c r="B559" s="249"/>
      <c r="C559" s="249"/>
      <c r="D559" s="30"/>
      <c r="E559" s="30"/>
      <c r="F559" s="30"/>
      <c r="G559" s="30"/>
      <c r="H559" s="30"/>
      <c r="I559" s="30"/>
      <c r="J559" s="30"/>
      <c r="K559" s="30"/>
      <c r="L559" s="30"/>
      <c r="M559" s="30"/>
      <c r="N559" s="30"/>
      <c r="R559" s="240"/>
    </row>
    <row r="560">
      <c r="A560" s="30"/>
      <c r="B560" s="249"/>
      <c r="C560" s="249"/>
      <c r="D560" s="30"/>
      <c r="E560" s="30"/>
      <c r="F560" s="30"/>
      <c r="G560" s="30"/>
      <c r="H560" s="30"/>
      <c r="I560" s="30"/>
      <c r="J560" s="30"/>
      <c r="K560" s="30"/>
      <c r="L560" s="30"/>
      <c r="M560" s="30"/>
      <c r="N560" s="30"/>
      <c r="R560" s="240"/>
    </row>
    <row r="561">
      <c r="A561" s="30"/>
      <c r="B561" s="249"/>
      <c r="C561" s="249"/>
      <c r="D561" s="30"/>
      <c r="E561" s="30"/>
      <c r="F561" s="30"/>
      <c r="G561" s="30"/>
      <c r="H561" s="30"/>
      <c r="I561" s="30"/>
      <c r="J561" s="30"/>
      <c r="K561" s="30"/>
      <c r="L561" s="30"/>
      <c r="M561" s="30"/>
      <c r="N561" s="30"/>
      <c r="R561" s="240"/>
    </row>
    <row r="562">
      <c r="A562" s="30"/>
      <c r="B562" s="249"/>
      <c r="C562" s="249"/>
      <c r="D562" s="30"/>
      <c r="E562" s="30"/>
      <c r="F562" s="30"/>
      <c r="G562" s="30"/>
      <c r="H562" s="30"/>
      <c r="I562" s="30"/>
      <c r="J562" s="30"/>
      <c r="K562" s="30"/>
      <c r="L562" s="30"/>
      <c r="M562" s="30"/>
      <c r="N562" s="30"/>
      <c r="R562" s="240"/>
    </row>
    <row r="563">
      <c r="A563" s="30"/>
      <c r="B563" s="249"/>
      <c r="C563" s="249"/>
      <c r="D563" s="30"/>
      <c r="E563" s="30"/>
      <c r="F563" s="30"/>
      <c r="G563" s="30"/>
      <c r="H563" s="30"/>
      <c r="I563" s="30"/>
      <c r="J563" s="30"/>
      <c r="K563" s="30"/>
      <c r="L563" s="30"/>
      <c r="M563" s="30"/>
      <c r="N563" s="30"/>
      <c r="R563" s="240"/>
    </row>
    <row r="564">
      <c r="A564" s="30"/>
      <c r="B564" s="249"/>
      <c r="C564" s="249"/>
      <c r="D564" s="30"/>
      <c r="E564" s="30"/>
      <c r="F564" s="30"/>
      <c r="G564" s="30"/>
      <c r="H564" s="30"/>
      <c r="I564" s="30"/>
      <c r="J564" s="30"/>
      <c r="K564" s="30"/>
      <c r="L564" s="30"/>
      <c r="M564" s="30"/>
      <c r="N564" s="30"/>
      <c r="R564" s="240"/>
    </row>
    <row r="565">
      <c r="A565" s="30"/>
      <c r="B565" s="249"/>
      <c r="C565" s="249"/>
      <c r="D565" s="30"/>
      <c r="E565" s="30"/>
      <c r="F565" s="30"/>
      <c r="G565" s="30"/>
      <c r="H565" s="30"/>
      <c r="I565" s="30"/>
      <c r="J565" s="30"/>
      <c r="K565" s="30"/>
      <c r="L565" s="30"/>
      <c r="M565" s="30"/>
      <c r="N565" s="30"/>
      <c r="R565" s="240"/>
    </row>
    <row r="566">
      <c r="A566" s="30"/>
      <c r="B566" s="249"/>
      <c r="C566" s="249"/>
      <c r="D566" s="30"/>
      <c r="E566" s="30"/>
      <c r="F566" s="30"/>
      <c r="G566" s="30"/>
      <c r="H566" s="30"/>
      <c r="I566" s="30"/>
      <c r="J566" s="30"/>
      <c r="K566" s="30"/>
      <c r="L566" s="30"/>
      <c r="M566" s="30"/>
      <c r="N566" s="30"/>
      <c r="R566" s="240"/>
    </row>
    <row r="567">
      <c r="A567" s="30"/>
      <c r="B567" s="249"/>
      <c r="C567" s="249"/>
      <c r="D567" s="30"/>
      <c r="E567" s="30"/>
      <c r="F567" s="30"/>
      <c r="G567" s="30"/>
      <c r="H567" s="30"/>
      <c r="I567" s="30"/>
      <c r="J567" s="30"/>
      <c r="K567" s="30"/>
      <c r="L567" s="30"/>
      <c r="M567" s="30"/>
      <c r="N567" s="30"/>
      <c r="R567" s="240"/>
    </row>
    <row r="568">
      <c r="A568" s="30"/>
      <c r="B568" s="249"/>
      <c r="C568" s="249"/>
      <c r="D568" s="30"/>
      <c r="E568" s="30"/>
      <c r="F568" s="30"/>
      <c r="G568" s="30"/>
      <c r="H568" s="30"/>
      <c r="I568" s="30"/>
      <c r="J568" s="30"/>
      <c r="K568" s="30"/>
      <c r="L568" s="30"/>
      <c r="M568" s="30"/>
      <c r="N568" s="30"/>
      <c r="R568" s="240"/>
    </row>
    <row r="569">
      <c r="A569" s="30"/>
      <c r="B569" s="249"/>
      <c r="C569" s="249"/>
      <c r="D569" s="30"/>
      <c r="E569" s="30"/>
      <c r="F569" s="30"/>
      <c r="G569" s="30"/>
      <c r="H569" s="30"/>
      <c r="I569" s="30"/>
      <c r="J569" s="30"/>
      <c r="K569" s="30"/>
      <c r="L569" s="30"/>
      <c r="M569" s="30"/>
      <c r="N569" s="30"/>
      <c r="R569" s="240"/>
    </row>
    <row r="570">
      <c r="A570" s="30"/>
      <c r="B570" s="249"/>
      <c r="C570" s="249"/>
      <c r="D570" s="30"/>
      <c r="E570" s="30"/>
      <c r="F570" s="30"/>
      <c r="G570" s="30"/>
      <c r="H570" s="30"/>
      <c r="I570" s="30"/>
      <c r="J570" s="30"/>
      <c r="K570" s="30"/>
      <c r="L570" s="30"/>
      <c r="M570" s="30"/>
      <c r="N570" s="30"/>
      <c r="R570" s="240"/>
    </row>
    <row r="571">
      <c r="A571" s="30"/>
      <c r="B571" s="249"/>
      <c r="C571" s="249"/>
      <c r="D571" s="30"/>
      <c r="E571" s="30"/>
      <c r="F571" s="30"/>
      <c r="G571" s="30"/>
      <c r="H571" s="30"/>
      <c r="I571" s="30"/>
      <c r="J571" s="30"/>
      <c r="K571" s="30"/>
      <c r="L571" s="30"/>
      <c r="M571" s="30"/>
      <c r="N571" s="30"/>
      <c r="R571" s="240"/>
    </row>
    <row r="572">
      <c r="A572" s="30"/>
      <c r="B572" s="249"/>
      <c r="C572" s="249"/>
      <c r="D572" s="30"/>
      <c r="E572" s="30"/>
      <c r="F572" s="30"/>
      <c r="G572" s="30"/>
      <c r="H572" s="30"/>
      <c r="I572" s="30"/>
      <c r="J572" s="30"/>
      <c r="K572" s="30"/>
      <c r="L572" s="30"/>
      <c r="M572" s="30"/>
      <c r="N572" s="30"/>
      <c r="R572" s="240"/>
    </row>
    <row r="573">
      <c r="A573" s="30"/>
      <c r="B573" s="249"/>
      <c r="C573" s="249"/>
      <c r="D573" s="30"/>
      <c r="E573" s="30"/>
      <c r="F573" s="30"/>
      <c r="G573" s="30"/>
      <c r="H573" s="30"/>
      <c r="I573" s="30"/>
      <c r="J573" s="30"/>
      <c r="K573" s="30"/>
      <c r="L573" s="30"/>
      <c r="M573" s="30"/>
      <c r="N573" s="30"/>
      <c r="R573" s="240"/>
    </row>
    <row r="574">
      <c r="A574" s="30"/>
      <c r="B574" s="249"/>
      <c r="C574" s="249"/>
      <c r="D574" s="30"/>
      <c r="E574" s="30"/>
      <c r="F574" s="30"/>
      <c r="G574" s="30"/>
      <c r="H574" s="30"/>
      <c r="I574" s="30"/>
      <c r="J574" s="30"/>
      <c r="K574" s="30"/>
      <c r="L574" s="30"/>
      <c r="M574" s="30"/>
      <c r="N574" s="30"/>
      <c r="R574" s="240"/>
    </row>
    <row r="575">
      <c r="A575" s="30"/>
      <c r="B575" s="249"/>
      <c r="C575" s="249"/>
      <c r="D575" s="30"/>
      <c r="E575" s="30"/>
      <c r="F575" s="30"/>
      <c r="G575" s="30"/>
      <c r="H575" s="30"/>
      <c r="I575" s="30"/>
      <c r="J575" s="30"/>
      <c r="K575" s="30"/>
      <c r="L575" s="30"/>
      <c r="M575" s="30"/>
      <c r="N575" s="30"/>
      <c r="R575" s="240"/>
    </row>
    <row r="576">
      <c r="A576" s="30"/>
      <c r="B576" s="249"/>
      <c r="C576" s="249"/>
      <c r="D576" s="30"/>
      <c r="E576" s="30"/>
      <c r="F576" s="30"/>
      <c r="G576" s="30"/>
      <c r="H576" s="30"/>
      <c r="I576" s="30"/>
      <c r="J576" s="30"/>
      <c r="K576" s="30"/>
      <c r="L576" s="30"/>
      <c r="M576" s="30"/>
      <c r="N576" s="30"/>
      <c r="R576" s="240"/>
    </row>
    <row r="577">
      <c r="A577" s="30"/>
      <c r="B577" s="249"/>
      <c r="C577" s="249"/>
      <c r="D577" s="30"/>
      <c r="E577" s="30"/>
      <c r="F577" s="30"/>
      <c r="G577" s="30"/>
      <c r="H577" s="30"/>
      <c r="I577" s="30"/>
      <c r="J577" s="30"/>
      <c r="K577" s="30"/>
      <c r="L577" s="30"/>
      <c r="M577" s="30"/>
      <c r="N577" s="30"/>
      <c r="R577" s="240"/>
    </row>
    <row r="578">
      <c r="A578" s="30"/>
      <c r="B578" s="249"/>
      <c r="C578" s="249"/>
      <c r="D578" s="30"/>
      <c r="E578" s="30"/>
      <c r="F578" s="30"/>
      <c r="G578" s="30"/>
      <c r="H578" s="30"/>
      <c r="I578" s="30"/>
      <c r="J578" s="30"/>
      <c r="K578" s="30"/>
      <c r="L578" s="30"/>
      <c r="M578" s="30"/>
      <c r="N578" s="30"/>
      <c r="R578" s="240"/>
    </row>
    <row r="579">
      <c r="A579" s="30"/>
      <c r="B579" s="249"/>
      <c r="C579" s="249"/>
      <c r="D579" s="30"/>
      <c r="E579" s="30"/>
      <c r="F579" s="30"/>
      <c r="G579" s="30"/>
      <c r="H579" s="30"/>
      <c r="I579" s="30"/>
      <c r="J579" s="30"/>
      <c r="K579" s="30"/>
      <c r="L579" s="30"/>
      <c r="M579" s="30"/>
      <c r="N579" s="30"/>
      <c r="R579" s="240"/>
    </row>
    <row r="580">
      <c r="A580" s="30"/>
      <c r="B580" s="249"/>
      <c r="C580" s="249"/>
      <c r="D580" s="30"/>
      <c r="E580" s="30"/>
      <c r="F580" s="30"/>
      <c r="G580" s="30"/>
      <c r="H580" s="30"/>
      <c r="I580" s="30"/>
      <c r="J580" s="30"/>
      <c r="K580" s="30"/>
      <c r="L580" s="30"/>
      <c r="M580" s="30"/>
      <c r="N580" s="30"/>
      <c r="R580" s="240"/>
    </row>
    <row r="581">
      <c r="A581" s="30"/>
      <c r="B581" s="249"/>
      <c r="C581" s="249"/>
      <c r="D581" s="30"/>
      <c r="E581" s="30"/>
      <c r="F581" s="30"/>
      <c r="G581" s="30"/>
      <c r="H581" s="30"/>
      <c r="I581" s="30"/>
      <c r="J581" s="30"/>
      <c r="K581" s="30"/>
      <c r="L581" s="30"/>
      <c r="M581" s="30"/>
      <c r="N581" s="30"/>
      <c r="R581" s="240"/>
    </row>
    <row r="582">
      <c r="A582" s="30"/>
      <c r="B582" s="249"/>
      <c r="C582" s="249"/>
      <c r="D582" s="30"/>
      <c r="E582" s="30"/>
      <c r="F582" s="30"/>
      <c r="G582" s="30"/>
      <c r="H582" s="30"/>
      <c r="I582" s="30"/>
      <c r="J582" s="30"/>
      <c r="K582" s="30"/>
      <c r="L582" s="30"/>
      <c r="M582" s="30"/>
      <c r="N582" s="30"/>
      <c r="R582" s="240"/>
    </row>
    <row r="583">
      <c r="A583" s="30"/>
      <c r="B583" s="249"/>
      <c r="C583" s="249"/>
      <c r="D583" s="30"/>
      <c r="E583" s="30"/>
      <c r="F583" s="30"/>
      <c r="G583" s="30"/>
      <c r="H583" s="30"/>
      <c r="I583" s="30"/>
      <c r="J583" s="30"/>
      <c r="K583" s="30"/>
      <c r="L583" s="30"/>
      <c r="M583" s="30"/>
      <c r="N583" s="30"/>
      <c r="R583" s="240"/>
    </row>
    <row r="584">
      <c r="A584" s="30"/>
      <c r="B584" s="249"/>
      <c r="C584" s="249"/>
      <c r="D584" s="30"/>
      <c r="E584" s="30"/>
      <c r="F584" s="30"/>
      <c r="G584" s="30"/>
      <c r="H584" s="30"/>
      <c r="I584" s="30"/>
      <c r="J584" s="30"/>
      <c r="K584" s="30"/>
      <c r="L584" s="30"/>
      <c r="M584" s="30"/>
      <c r="N584" s="30"/>
      <c r="R584" s="240"/>
    </row>
    <row r="585">
      <c r="A585" s="30"/>
      <c r="B585" s="249"/>
      <c r="C585" s="249"/>
      <c r="D585" s="30"/>
      <c r="E585" s="30"/>
      <c r="F585" s="30"/>
      <c r="G585" s="30"/>
      <c r="H585" s="30"/>
      <c r="I585" s="30"/>
      <c r="J585" s="30"/>
      <c r="K585" s="30"/>
      <c r="L585" s="30"/>
      <c r="M585" s="30"/>
      <c r="N585" s="30"/>
      <c r="R585" s="240"/>
    </row>
    <row r="586">
      <c r="A586" s="30"/>
      <c r="B586" s="249"/>
      <c r="C586" s="249"/>
      <c r="D586" s="30"/>
      <c r="E586" s="30"/>
      <c r="F586" s="30"/>
      <c r="G586" s="30"/>
      <c r="H586" s="30"/>
      <c r="I586" s="30"/>
      <c r="J586" s="30"/>
      <c r="K586" s="30"/>
      <c r="L586" s="30"/>
      <c r="M586" s="30"/>
      <c r="N586" s="30"/>
      <c r="R586" s="240"/>
    </row>
    <row r="587">
      <c r="A587" s="30"/>
      <c r="B587" s="249"/>
      <c r="C587" s="249"/>
      <c r="D587" s="30"/>
      <c r="E587" s="30"/>
      <c r="F587" s="30"/>
      <c r="G587" s="30"/>
      <c r="H587" s="30"/>
      <c r="I587" s="30"/>
      <c r="J587" s="30"/>
      <c r="K587" s="30"/>
      <c r="L587" s="30"/>
      <c r="M587" s="30"/>
      <c r="N587" s="30"/>
      <c r="R587" s="240"/>
    </row>
    <row r="588">
      <c r="A588" s="30"/>
      <c r="B588" s="249"/>
      <c r="C588" s="249"/>
      <c r="D588" s="30"/>
      <c r="E588" s="30"/>
      <c r="F588" s="30"/>
      <c r="G588" s="30"/>
      <c r="H588" s="30"/>
      <c r="I588" s="30"/>
      <c r="J588" s="30"/>
      <c r="K588" s="30"/>
      <c r="L588" s="30"/>
      <c r="M588" s="30"/>
      <c r="N588" s="30"/>
      <c r="R588" s="240"/>
    </row>
    <row r="589">
      <c r="A589" s="30"/>
      <c r="B589" s="249"/>
      <c r="C589" s="249"/>
      <c r="D589" s="30"/>
      <c r="E589" s="30"/>
      <c r="F589" s="30"/>
      <c r="G589" s="30"/>
      <c r="H589" s="30"/>
      <c r="I589" s="30"/>
      <c r="J589" s="30"/>
      <c r="K589" s="30"/>
      <c r="L589" s="30"/>
      <c r="M589" s="30"/>
      <c r="N589" s="30"/>
      <c r="R589" s="240"/>
    </row>
    <row r="590">
      <c r="A590" s="30"/>
      <c r="B590" s="249"/>
      <c r="C590" s="249"/>
      <c r="D590" s="30"/>
      <c r="E590" s="30"/>
      <c r="F590" s="30"/>
      <c r="G590" s="30"/>
      <c r="H590" s="30"/>
      <c r="I590" s="30"/>
      <c r="J590" s="30"/>
      <c r="K590" s="30"/>
      <c r="L590" s="30"/>
      <c r="M590" s="30"/>
      <c r="N590" s="30"/>
      <c r="R590" s="240"/>
    </row>
    <row r="591">
      <c r="A591" s="30"/>
      <c r="B591" s="249"/>
      <c r="C591" s="249"/>
      <c r="D591" s="30"/>
      <c r="E591" s="30"/>
      <c r="F591" s="30"/>
      <c r="G591" s="30"/>
      <c r="H591" s="30"/>
      <c r="I591" s="30"/>
      <c r="J591" s="30"/>
      <c r="K591" s="30"/>
      <c r="L591" s="30"/>
      <c r="M591" s="30"/>
      <c r="N591" s="30"/>
      <c r="R591" s="240"/>
    </row>
    <row r="592">
      <c r="A592" s="30"/>
      <c r="B592" s="249"/>
      <c r="C592" s="249"/>
      <c r="D592" s="30"/>
      <c r="E592" s="30"/>
      <c r="F592" s="30"/>
      <c r="G592" s="30"/>
      <c r="H592" s="30"/>
      <c r="I592" s="30"/>
      <c r="J592" s="30"/>
      <c r="K592" s="30"/>
      <c r="L592" s="30"/>
      <c r="M592" s="30"/>
      <c r="N592" s="30"/>
      <c r="R592" s="240"/>
    </row>
    <row r="593">
      <c r="A593" s="30"/>
      <c r="B593" s="249"/>
      <c r="C593" s="249"/>
      <c r="D593" s="30"/>
      <c r="E593" s="30"/>
      <c r="F593" s="30"/>
      <c r="G593" s="30"/>
      <c r="H593" s="30"/>
      <c r="I593" s="30"/>
      <c r="J593" s="30"/>
      <c r="K593" s="30"/>
      <c r="L593" s="30"/>
      <c r="M593" s="30"/>
      <c r="N593" s="30"/>
      <c r="R593" s="240"/>
    </row>
    <row r="594">
      <c r="A594" s="30"/>
      <c r="B594" s="249"/>
      <c r="C594" s="249"/>
      <c r="D594" s="30"/>
      <c r="E594" s="30"/>
      <c r="F594" s="30"/>
      <c r="G594" s="30"/>
      <c r="H594" s="30"/>
      <c r="I594" s="30"/>
      <c r="J594" s="30"/>
      <c r="K594" s="30"/>
      <c r="L594" s="30"/>
      <c r="M594" s="30"/>
      <c r="N594" s="30"/>
      <c r="R594" s="240"/>
    </row>
    <row r="595">
      <c r="A595" s="30"/>
      <c r="B595" s="249"/>
      <c r="C595" s="249"/>
      <c r="D595" s="30"/>
      <c r="E595" s="30"/>
      <c r="F595" s="30"/>
      <c r="G595" s="30"/>
      <c r="H595" s="30"/>
      <c r="I595" s="30"/>
      <c r="J595" s="30"/>
      <c r="K595" s="30"/>
      <c r="L595" s="30"/>
      <c r="M595" s="30"/>
      <c r="N595" s="30"/>
      <c r="R595" s="240"/>
    </row>
    <row r="596">
      <c r="A596" s="30"/>
      <c r="B596" s="249"/>
      <c r="C596" s="249"/>
      <c r="D596" s="30"/>
      <c r="E596" s="30"/>
      <c r="F596" s="30"/>
      <c r="G596" s="30"/>
      <c r="H596" s="30"/>
      <c r="I596" s="30"/>
      <c r="J596" s="30"/>
      <c r="K596" s="30"/>
      <c r="L596" s="30"/>
      <c r="M596" s="30"/>
      <c r="N596" s="30"/>
      <c r="R596" s="240"/>
    </row>
    <row r="597">
      <c r="A597" s="30"/>
      <c r="B597" s="249"/>
      <c r="C597" s="249"/>
      <c r="D597" s="30"/>
      <c r="E597" s="30"/>
      <c r="F597" s="30"/>
      <c r="G597" s="30"/>
      <c r="H597" s="30"/>
      <c r="I597" s="30"/>
      <c r="J597" s="30"/>
      <c r="K597" s="30"/>
      <c r="L597" s="30"/>
      <c r="M597" s="30"/>
      <c r="N597" s="30"/>
      <c r="R597" s="240"/>
    </row>
    <row r="598">
      <c r="A598" s="30"/>
      <c r="B598" s="249"/>
      <c r="C598" s="249"/>
      <c r="D598" s="30"/>
      <c r="E598" s="30"/>
      <c r="F598" s="30"/>
      <c r="G598" s="30"/>
      <c r="H598" s="30"/>
      <c r="I598" s="30"/>
      <c r="J598" s="30"/>
      <c r="K598" s="30"/>
      <c r="L598" s="30"/>
      <c r="M598" s="30"/>
      <c r="N598" s="30"/>
      <c r="R598" s="240"/>
    </row>
    <row r="599">
      <c r="A599" s="30"/>
      <c r="B599" s="249"/>
      <c r="C599" s="249"/>
      <c r="D599" s="30"/>
      <c r="E599" s="30"/>
      <c r="F599" s="30"/>
      <c r="G599" s="30"/>
      <c r="H599" s="30"/>
      <c r="I599" s="30"/>
      <c r="J599" s="30"/>
      <c r="K599" s="30"/>
      <c r="L599" s="30"/>
      <c r="M599" s="30"/>
      <c r="N599" s="30"/>
      <c r="R599" s="240"/>
    </row>
    <row r="600">
      <c r="A600" s="30"/>
      <c r="B600" s="249"/>
      <c r="C600" s="249"/>
      <c r="D600" s="30"/>
      <c r="E600" s="30"/>
      <c r="F600" s="30"/>
      <c r="G600" s="30"/>
      <c r="H600" s="30"/>
      <c r="I600" s="30"/>
      <c r="J600" s="30"/>
      <c r="K600" s="30"/>
      <c r="L600" s="30"/>
      <c r="M600" s="30"/>
      <c r="N600" s="30"/>
      <c r="R600" s="240"/>
    </row>
    <row r="601">
      <c r="A601" s="30"/>
      <c r="B601" s="249"/>
      <c r="C601" s="249"/>
      <c r="D601" s="30"/>
      <c r="E601" s="30"/>
      <c r="F601" s="30"/>
      <c r="G601" s="30"/>
      <c r="H601" s="30"/>
      <c r="I601" s="30"/>
      <c r="J601" s="30"/>
      <c r="K601" s="30"/>
      <c r="L601" s="30"/>
      <c r="M601" s="30"/>
      <c r="N601" s="30"/>
      <c r="R601" s="240"/>
    </row>
    <row r="602">
      <c r="A602" s="30"/>
      <c r="B602" s="249"/>
      <c r="C602" s="249"/>
      <c r="D602" s="30"/>
      <c r="E602" s="30"/>
      <c r="F602" s="30"/>
      <c r="G602" s="30"/>
      <c r="H602" s="30"/>
      <c r="I602" s="30"/>
      <c r="J602" s="30"/>
      <c r="K602" s="30"/>
      <c r="L602" s="30"/>
      <c r="M602" s="30"/>
      <c r="N602" s="30"/>
      <c r="R602" s="240"/>
    </row>
    <row r="603">
      <c r="A603" s="30"/>
      <c r="B603" s="249"/>
      <c r="C603" s="249"/>
      <c r="D603" s="30"/>
      <c r="E603" s="30"/>
      <c r="F603" s="30"/>
      <c r="G603" s="30"/>
      <c r="H603" s="30"/>
      <c r="I603" s="30"/>
      <c r="J603" s="30"/>
      <c r="K603" s="30"/>
      <c r="L603" s="30"/>
      <c r="M603" s="30"/>
      <c r="N603" s="30"/>
      <c r="R603" s="240"/>
    </row>
    <row r="604">
      <c r="A604" s="30"/>
      <c r="B604" s="249"/>
      <c r="C604" s="249"/>
      <c r="D604" s="30"/>
      <c r="E604" s="30"/>
      <c r="F604" s="30"/>
      <c r="G604" s="30"/>
      <c r="H604" s="30"/>
      <c r="I604" s="30"/>
      <c r="J604" s="30"/>
      <c r="K604" s="30"/>
      <c r="L604" s="30"/>
      <c r="M604" s="30"/>
      <c r="N604" s="30"/>
      <c r="R604" s="240"/>
    </row>
    <row r="605">
      <c r="A605" s="30"/>
      <c r="B605" s="249"/>
      <c r="C605" s="249"/>
      <c r="D605" s="30"/>
      <c r="E605" s="30"/>
      <c r="F605" s="30"/>
      <c r="G605" s="30"/>
      <c r="H605" s="30"/>
      <c r="I605" s="30"/>
      <c r="J605" s="30"/>
      <c r="K605" s="30"/>
      <c r="L605" s="30"/>
      <c r="M605" s="30"/>
      <c r="N605" s="30"/>
      <c r="R605" s="240"/>
    </row>
    <row r="606">
      <c r="A606" s="30"/>
      <c r="B606" s="249"/>
      <c r="C606" s="249"/>
      <c r="D606" s="30"/>
      <c r="E606" s="30"/>
      <c r="F606" s="30"/>
      <c r="G606" s="30"/>
      <c r="H606" s="30"/>
      <c r="I606" s="30"/>
      <c r="J606" s="30"/>
      <c r="K606" s="30"/>
      <c r="L606" s="30"/>
      <c r="M606" s="30"/>
      <c r="N606" s="30"/>
      <c r="R606" s="240"/>
    </row>
    <row r="607">
      <c r="A607" s="30"/>
      <c r="B607" s="249"/>
      <c r="C607" s="249"/>
      <c r="D607" s="30"/>
      <c r="E607" s="30"/>
      <c r="F607" s="30"/>
      <c r="G607" s="30"/>
      <c r="H607" s="30"/>
      <c r="I607" s="30"/>
      <c r="J607" s="30"/>
      <c r="K607" s="30"/>
      <c r="L607" s="30"/>
      <c r="M607" s="30"/>
      <c r="N607" s="30"/>
      <c r="R607" s="240"/>
    </row>
    <row r="608">
      <c r="A608" s="30"/>
      <c r="B608" s="249"/>
      <c r="C608" s="249"/>
      <c r="D608" s="30"/>
      <c r="E608" s="30"/>
      <c r="F608" s="30"/>
      <c r="G608" s="30"/>
      <c r="H608" s="30"/>
      <c r="I608" s="30"/>
      <c r="J608" s="30"/>
      <c r="K608" s="30"/>
      <c r="L608" s="30"/>
      <c r="M608" s="30"/>
      <c r="N608" s="30"/>
      <c r="R608" s="240"/>
    </row>
    <row r="609">
      <c r="A609" s="30"/>
      <c r="B609" s="249"/>
      <c r="C609" s="249"/>
      <c r="D609" s="30"/>
      <c r="E609" s="30"/>
      <c r="F609" s="30"/>
      <c r="G609" s="30"/>
      <c r="H609" s="30"/>
      <c r="I609" s="30"/>
      <c r="J609" s="30"/>
      <c r="K609" s="30"/>
      <c r="L609" s="30"/>
      <c r="M609" s="30"/>
      <c r="N609" s="30"/>
      <c r="R609" s="240"/>
    </row>
    <row r="610">
      <c r="A610" s="30"/>
      <c r="B610" s="249"/>
      <c r="C610" s="249"/>
      <c r="D610" s="30"/>
      <c r="E610" s="30"/>
      <c r="F610" s="30"/>
      <c r="G610" s="30"/>
      <c r="H610" s="30"/>
      <c r="I610" s="30"/>
      <c r="J610" s="30"/>
      <c r="K610" s="30"/>
      <c r="L610" s="30"/>
      <c r="M610" s="30"/>
      <c r="N610" s="30"/>
      <c r="R610" s="240"/>
    </row>
    <row r="611">
      <c r="A611" s="30"/>
      <c r="B611" s="249"/>
      <c r="C611" s="249"/>
      <c r="D611" s="30"/>
      <c r="E611" s="30"/>
      <c r="F611" s="30"/>
      <c r="G611" s="30"/>
      <c r="H611" s="30"/>
      <c r="I611" s="30"/>
      <c r="J611" s="30"/>
      <c r="K611" s="30"/>
      <c r="L611" s="30"/>
      <c r="M611" s="30"/>
      <c r="N611" s="30"/>
      <c r="R611" s="240"/>
    </row>
    <row r="612">
      <c r="A612" s="30"/>
      <c r="B612" s="249"/>
      <c r="C612" s="249"/>
      <c r="D612" s="30"/>
      <c r="E612" s="30"/>
      <c r="F612" s="30"/>
      <c r="G612" s="30"/>
      <c r="H612" s="30"/>
      <c r="I612" s="30"/>
      <c r="J612" s="30"/>
      <c r="K612" s="30"/>
      <c r="L612" s="30"/>
      <c r="M612" s="30"/>
      <c r="N612" s="30"/>
      <c r="R612" s="240"/>
    </row>
    <row r="613">
      <c r="A613" s="30"/>
      <c r="B613" s="249"/>
      <c r="C613" s="249"/>
      <c r="D613" s="30"/>
      <c r="E613" s="30"/>
      <c r="F613" s="30"/>
      <c r="G613" s="30"/>
      <c r="H613" s="30"/>
      <c r="I613" s="30"/>
      <c r="J613" s="30"/>
      <c r="K613" s="30"/>
      <c r="L613" s="30"/>
      <c r="M613" s="30"/>
      <c r="N613" s="30"/>
      <c r="R613" s="240"/>
    </row>
    <row r="614">
      <c r="A614" s="30"/>
      <c r="B614" s="249"/>
      <c r="C614" s="249"/>
      <c r="D614" s="30"/>
      <c r="E614" s="30"/>
      <c r="F614" s="30"/>
      <c r="G614" s="30"/>
      <c r="H614" s="30"/>
      <c r="I614" s="30"/>
      <c r="J614" s="30"/>
      <c r="K614" s="30"/>
      <c r="L614" s="30"/>
      <c r="M614" s="30"/>
      <c r="N614" s="30"/>
      <c r="R614" s="240"/>
    </row>
    <row r="615">
      <c r="A615" s="30"/>
      <c r="B615" s="249"/>
      <c r="C615" s="249"/>
      <c r="D615" s="30"/>
      <c r="E615" s="30"/>
      <c r="F615" s="30"/>
      <c r="G615" s="30"/>
      <c r="H615" s="30"/>
      <c r="I615" s="30"/>
      <c r="J615" s="30"/>
      <c r="K615" s="30"/>
      <c r="L615" s="30"/>
      <c r="M615" s="30"/>
      <c r="N615" s="30"/>
      <c r="R615" s="240"/>
    </row>
    <row r="616">
      <c r="A616" s="30"/>
      <c r="B616" s="249"/>
      <c r="C616" s="249"/>
      <c r="D616" s="30"/>
      <c r="E616" s="30"/>
      <c r="F616" s="30"/>
      <c r="G616" s="30"/>
      <c r="H616" s="30"/>
      <c r="I616" s="30"/>
      <c r="J616" s="30"/>
      <c r="K616" s="30"/>
      <c r="L616" s="30"/>
      <c r="M616" s="30"/>
      <c r="N616" s="30"/>
      <c r="R616" s="240"/>
    </row>
    <row r="617">
      <c r="A617" s="30"/>
      <c r="B617" s="249"/>
      <c r="C617" s="249"/>
      <c r="D617" s="30"/>
      <c r="E617" s="30"/>
      <c r="F617" s="30"/>
      <c r="G617" s="30"/>
      <c r="H617" s="30"/>
      <c r="I617" s="30"/>
      <c r="J617" s="30"/>
      <c r="K617" s="30"/>
      <c r="L617" s="30"/>
      <c r="M617" s="30"/>
      <c r="N617" s="30"/>
      <c r="R617" s="240"/>
    </row>
    <row r="618">
      <c r="A618" s="30"/>
      <c r="B618" s="249"/>
      <c r="C618" s="249"/>
      <c r="D618" s="30"/>
      <c r="E618" s="30"/>
      <c r="F618" s="30"/>
      <c r="G618" s="30"/>
      <c r="H618" s="30"/>
      <c r="I618" s="30"/>
      <c r="J618" s="30"/>
      <c r="K618" s="30"/>
      <c r="L618" s="30"/>
      <c r="M618" s="30"/>
      <c r="N618" s="30"/>
      <c r="R618" s="240"/>
    </row>
    <row r="619">
      <c r="A619" s="30"/>
      <c r="B619" s="249"/>
      <c r="C619" s="249"/>
      <c r="D619" s="30"/>
      <c r="E619" s="30"/>
      <c r="F619" s="30"/>
      <c r="G619" s="30"/>
      <c r="H619" s="30"/>
      <c r="I619" s="30"/>
      <c r="J619" s="30"/>
      <c r="K619" s="30"/>
      <c r="L619" s="30"/>
      <c r="M619" s="30"/>
      <c r="N619" s="30"/>
      <c r="R619" s="240"/>
    </row>
    <row r="620">
      <c r="A620" s="30"/>
      <c r="B620" s="249"/>
      <c r="C620" s="249"/>
      <c r="D620" s="30"/>
      <c r="E620" s="30"/>
      <c r="F620" s="30"/>
      <c r="G620" s="30"/>
      <c r="H620" s="30"/>
      <c r="I620" s="30"/>
      <c r="J620" s="30"/>
      <c r="K620" s="30"/>
      <c r="L620" s="30"/>
      <c r="M620" s="30"/>
      <c r="N620" s="30"/>
      <c r="R620" s="240"/>
    </row>
    <row r="621">
      <c r="A621" s="30"/>
      <c r="B621" s="249"/>
      <c r="C621" s="249"/>
      <c r="D621" s="30"/>
      <c r="E621" s="30"/>
      <c r="F621" s="30"/>
      <c r="G621" s="30"/>
      <c r="H621" s="30"/>
      <c r="I621" s="30"/>
      <c r="J621" s="30"/>
      <c r="K621" s="30"/>
      <c r="L621" s="30"/>
      <c r="M621" s="30"/>
      <c r="N621" s="30"/>
      <c r="R621" s="240"/>
    </row>
    <row r="622">
      <c r="A622" s="30"/>
      <c r="B622" s="249"/>
      <c r="C622" s="249"/>
      <c r="D622" s="30"/>
      <c r="E622" s="30"/>
      <c r="F622" s="30"/>
      <c r="G622" s="30"/>
      <c r="H622" s="30"/>
      <c r="I622" s="30"/>
      <c r="J622" s="30"/>
      <c r="K622" s="30"/>
      <c r="L622" s="30"/>
      <c r="M622" s="30"/>
      <c r="N622" s="30"/>
      <c r="R622" s="240"/>
    </row>
    <row r="623">
      <c r="A623" s="30"/>
      <c r="B623" s="249"/>
      <c r="C623" s="249"/>
      <c r="D623" s="30"/>
      <c r="E623" s="30"/>
      <c r="F623" s="30"/>
      <c r="G623" s="30"/>
      <c r="H623" s="30"/>
      <c r="I623" s="30"/>
      <c r="J623" s="30"/>
      <c r="K623" s="30"/>
      <c r="L623" s="30"/>
      <c r="M623" s="30"/>
      <c r="N623" s="30"/>
      <c r="R623" s="240"/>
    </row>
    <row r="624">
      <c r="A624" s="30"/>
      <c r="B624" s="249"/>
      <c r="C624" s="249"/>
      <c r="D624" s="30"/>
      <c r="E624" s="30"/>
      <c r="F624" s="30"/>
      <c r="G624" s="30"/>
      <c r="H624" s="30"/>
      <c r="I624" s="30"/>
      <c r="J624" s="30"/>
      <c r="K624" s="30"/>
      <c r="L624" s="30"/>
      <c r="M624" s="30"/>
      <c r="N624" s="30"/>
      <c r="R624" s="240"/>
    </row>
    <row r="625">
      <c r="A625" s="30"/>
      <c r="B625" s="249"/>
      <c r="C625" s="249"/>
      <c r="D625" s="30"/>
      <c r="E625" s="30"/>
      <c r="F625" s="30"/>
      <c r="G625" s="30"/>
      <c r="H625" s="30"/>
      <c r="I625" s="30"/>
      <c r="J625" s="30"/>
      <c r="K625" s="30"/>
      <c r="L625" s="30"/>
      <c r="M625" s="30"/>
      <c r="N625" s="30"/>
      <c r="R625" s="240"/>
    </row>
    <row r="626">
      <c r="A626" s="30"/>
      <c r="B626" s="249"/>
      <c r="C626" s="249"/>
      <c r="D626" s="30"/>
      <c r="E626" s="30"/>
      <c r="F626" s="30"/>
      <c r="G626" s="30"/>
      <c r="H626" s="30"/>
      <c r="I626" s="30"/>
      <c r="J626" s="30"/>
      <c r="K626" s="30"/>
      <c r="L626" s="30"/>
      <c r="M626" s="30"/>
      <c r="N626" s="30"/>
      <c r="R626" s="240"/>
    </row>
    <row r="627">
      <c r="A627" s="30"/>
      <c r="B627" s="249"/>
      <c r="C627" s="249"/>
      <c r="D627" s="30"/>
      <c r="E627" s="30"/>
      <c r="F627" s="30"/>
      <c r="G627" s="30"/>
      <c r="H627" s="30"/>
      <c r="I627" s="30"/>
      <c r="J627" s="30"/>
      <c r="K627" s="30"/>
      <c r="L627" s="30"/>
      <c r="M627" s="30"/>
      <c r="N627" s="30"/>
      <c r="R627" s="240"/>
    </row>
    <row r="628">
      <c r="A628" s="30"/>
      <c r="B628" s="249"/>
      <c r="C628" s="249"/>
      <c r="D628" s="30"/>
      <c r="E628" s="30"/>
      <c r="F628" s="30"/>
      <c r="G628" s="30"/>
      <c r="H628" s="30"/>
      <c r="I628" s="30"/>
      <c r="J628" s="30"/>
      <c r="K628" s="30"/>
      <c r="L628" s="30"/>
      <c r="M628" s="30"/>
      <c r="N628" s="30"/>
      <c r="R628" s="240"/>
    </row>
    <row r="629">
      <c r="A629" s="30"/>
      <c r="B629" s="249"/>
      <c r="C629" s="249"/>
      <c r="D629" s="30"/>
      <c r="E629" s="30"/>
      <c r="F629" s="30"/>
      <c r="G629" s="30"/>
      <c r="H629" s="30"/>
      <c r="I629" s="30"/>
      <c r="J629" s="30"/>
      <c r="K629" s="30"/>
      <c r="L629" s="30"/>
      <c r="M629" s="30"/>
      <c r="N629" s="30"/>
      <c r="R629" s="240"/>
    </row>
    <row r="630">
      <c r="A630" s="30"/>
      <c r="B630" s="249"/>
      <c r="C630" s="249"/>
      <c r="D630" s="30"/>
      <c r="E630" s="30"/>
      <c r="F630" s="30"/>
      <c r="G630" s="30"/>
      <c r="H630" s="30"/>
      <c r="I630" s="30"/>
      <c r="J630" s="30"/>
      <c r="K630" s="30"/>
      <c r="L630" s="30"/>
      <c r="M630" s="30"/>
      <c r="N630" s="30"/>
      <c r="R630" s="240"/>
    </row>
    <row r="631">
      <c r="A631" s="30"/>
      <c r="B631" s="249"/>
      <c r="C631" s="249"/>
      <c r="D631" s="30"/>
      <c r="E631" s="30"/>
      <c r="F631" s="30"/>
      <c r="G631" s="30"/>
      <c r="H631" s="30"/>
      <c r="I631" s="30"/>
      <c r="J631" s="30"/>
      <c r="K631" s="30"/>
      <c r="L631" s="30"/>
      <c r="M631" s="30"/>
      <c r="N631" s="30"/>
      <c r="R631" s="240"/>
    </row>
    <row r="632">
      <c r="A632" s="30"/>
      <c r="B632" s="249"/>
      <c r="C632" s="249"/>
      <c r="D632" s="30"/>
      <c r="E632" s="30"/>
      <c r="F632" s="30"/>
      <c r="G632" s="30"/>
      <c r="H632" s="30"/>
      <c r="I632" s="30"/>
      <c r="J632" s="30"/>
      <c r="K632" s="30"/>
      <c r="L632" s="30"/>
      <c r="M632" s="30"/>
      <c r="N632" s="30"/>
      <c r="R632" s="240"/>
    </row>
    <row r="633">
      <c r="A633" s="30"/>
      <c r="B633" s="249"/>
      <c r="C633" s="249"/>
      <c r="D633" s="30"/>
      <c r="E633" s="30"/>
      <c r="F633" s="30"/>
      <c r="G633" s="30"/>
      <c r="H633" s="30"/>
      <c r="I633" s="30"/>
      <c r="J633" s="30"/>
      <c r="K633" s="30"/>
      <c r="L633" s="30"/>
      <c r="M633" s="30"/>
      <c r="N633" s="30"/>
      <c r="R633" s="240"/>
    </row>
    <row r="634">
      <c r="A634" s="30"/>
      <c r="B634" s="249"/>
      <c r="C634" s="249"/>
      <c r="D634" s="30"/>
      <c r="E634" s="30"/>
      <c r="F634" s="30"/>
      <c r="G634" s="30"/>
      <c r="H634" s="30"/>
      <c r="I634" s="30"/>
      <c r="J634" s="30"/>
      <c r="K634" s="30"/>
      <c r="L634" s="30"/>
      <c r="M634" s="30"/>
      <c r="N634" s="30"/>
      <c r="R634" s="240"/>
    </row>
    <row r="635">
      <c r="A635" s="30"/>
      <c r="B635" s="249"/>
      <c r="C635" s="249"/>
      <c r="D635" s="30"/>
      <c r="E635" s="30"/>
      <c r="F635" s="30"/>
      <c r="G635" s="30"/>
      <c r="H635" s="30"/>
      <c r="I635" s="30"/>
      <c r="J635" s="30"/>
      <c r="K635" s="30"/>
      <c r="L635" s="30"/>
      <c r="M635" s="30"/>
      <c r="N635" s="30"/>
      <c r="R635" s="240"/>
    </row>
    <row r="636">
      <c r="A636" s="30"/>
      <c r="B636" s="249"/>
      <c r="C636" s="249"/>
      <c r="D636" s="30"/>
      <c r="E636" s="30"/>
      <c r="F636" s="30"/>
      <c r="G636" s="30"/>
      <c r="H636" s="30"/>
      <c r="I636" s="30"/>
      <c r="J636" s="30"/>
      <c r="K636" s="30"/>
      <c r="L636" s="30"/>
      <c r="M636" s="30"/>
      <c r="N636" s="30"/>
      <c r="R636" s="240"/>
    </row>
    <row r="637">
      <c r="A637" s="30"/>
      <c r="B637" s="249"/>
      <c r="C637" s="249"/>
      <c r="D637" s="30"/>
      <c r="E637" s="30"/>
      <c r="F637" s="30"/>
      <c r="G637" s="30"/>
      <c r="H637" s="30"/>
      <c r="I637" s="30"/>
      <c r="J637" s="30"/>
      <c r="K637" s="30"/>
      <c r="L637" s="30"/>
      <c r="M637" s="30"/>
      <c r="N637" s="30"/>
      <c r="R637" s="240"/>
    </row>
    <row r="638">
      <c r="A638" s="30"/>
      <c r="B638" s="249"/>
      <c r="C638" s="249"/>
      <c r="D638" s="30"/>
      <c r="E638" s="30"/>
      <c r="F638" s="30"/>
      <c r="G638" s="30"/>
      <c r="H638" s="30"/>
      <c r="I638" s="30"/>
      <c r="J638" s="30"/>
      <c r="K638" s="30"/>
      <c r="L638" s="30"/>
      <c r="M638" s="30"/>
      <c r="N638" s="30"/>
      <c r="R638" s="240"/>
    </row>
    <row r="639">
      <c r="A639" s="30"/>
      <c r="B639" s="249"/>
      <c r="C639" s="249"/>
      <c r="D639" s="30"/>
      <c r="E639" s="30"/>
      <c r="F639" s="30"/>
      <c r="G639" s="30"/>
      <c r="H639" s="30"/>
      <c r="I639" s="30"/>
      <c r="J639" s="30"/>
      <c r="K639" s="30"/>
      <c r="L639" s="30"/>
      <c r="M639" s="30"/>
      <c r="N639" s="30"/>
      <c r="R639" s="240"/>
    </row>
    <row r="640">
      <c r="A640" s="30"/>
      <c r="B640" s="249"/>
      <c r="C640" s="249"/>
      <c r="D640" s="30"/>
      <c r="E640" s="30"/>
      <c r="F640" s="30"/>
      <c r="G640" s="30"/>
      <c r="H640" s="30"/>
      <c r="I640" s="30"/>
      <c r="J640" s="30"/>
      <c r="K640" s="30"/>
      <c r="L640" s="30"/>
      <c r="M640" s="30"/>
      <c r="N640" s="30"/>
      <c r="R640" s="240"/>
    </row>
    <row r="641">
      <c r="A641" s="30"/>
      <c r="B641" s="249"/>
      <c r="C641" s="249"/>
      <c r="D641" s="30"/>
      <c r="E641" s="30"/>
      <c r="F641" s="30"/>
      <c r="G641" s="30"/>
      <c r="H641" s="30"/>
      <c r="I641" s="30"/>
      <c r="J641" s="30"/>
      <c r="K641" s="30"/>
      <c r="L641" s="30"/>
      <c r="M641" s="30"/>
      <c r="N641" s="30"/>
      <c r="R641" s="240"/>
    </row>
    <row r="642">
      <c r="A642" s="30"/>
      <c r="B642" s="249"/>
      <c r="C642" s="249"/>
      <c r="D642" s="30"/>
      <c r="E642" s="30"/>
      <c r="F642" s="30"/>
      <c r="G642" s="30"/>
      <c r="H642" s="30"/>
      <c r="I642" s="30"/>
      <c r="J642" s="30"/>
      <c r="K642" s="30"/>
      <c r="L642" s="30"/>
      <c r="M642" s="30"/>
      <c r="N642" s="30"/>
      <c r="R642" s="240"/>
    </row>
    <row r="643">
      <c r="A643" s="30"/>
      <c r="B643" s="249"/>
      <c r="C643" s="249"/>
      <c r="D643" s="30"/>
      <c r="E643" s="30"/>
      <c r="F643" s="30"/>
      <c r="G643" s="30"/>
      <c r="H643" s="30"/>
      <c r="I643" s="30"/>
      <c r="J643" s="30"/>
      <c r="K643" s="30"/>
      <c r="L643" s="30"/>
      <c r="M643" s="30"/>
      <c r="N643" s="30"/>
      <c r="R643" s="240"/>
    </row>
    <row r="644">
      <c r="A644" s="30"/>
      <c r="B644" s="249"/>
      <c r="C644" s="249"/>
      <c r="D644" s="30"/>
      <c r="E644" s="30"/>
      <c r="F644" s="30"/>
      <c r="G644" s="30"/>
      <c r="H644" s="30"/>
      <c r="I644" s="30"/>
      <c r="J644" s="30"/>
      <c r="K644" s="30"/>
      <c r="L644" s="30"/>
      <c r="M644" s="30"/>
      <c r="N644" s="30"/>
      <c r="R644" s="240"/>
    </row>
    <row r="645">
      <c r="A645" s="30"/>
      <c r="B645" s="249"/>
      <c r="C645" s="249"/>
      <c r="D645" s="30"/>
      <c r="E645" s="30"/>
      <c r="F645" s="30"/>
      <c r="G645" s="30"/>
      <c r="H645" s="30"/>
      <c r="I645" s="30"/>
      <c r="J645" s="30"/>
      <c r="K645" s="30"/>
      <c r="L645" s="30"/>
      <c r="M645" s="30"/>
      <c r="N645" s="30"/>
      <c r="R645" s="240"/>
    </row>
    <row r="646">
      <c r="A646" s="30"/>
      <c r="B646" s="249"/>
      <c r="C646" s="249"/>
      <c r="D646" s="30"/>
      <c r="E646" s="30"/>
      <c r="F646" s="30"/>
      <c r="G646" s="30"/>
      <c r="H646" s="30"/>
      <c r="I646" s="30"/>
      <c r="J646" s="30"/>
      <c r="K646" s="30"/>
      <c r="L646" s="30"/>
      <c r="M646" s="30"/>
      <c r="N646" s="30"/>
      <c r="R646" s="240"/>
    </row>
    <row r="647">
      <c r="A647" s="30"/>
      <c r="B647" s="249"/>
      <c r="C647" s="249"/>
      <c r="D647" s="30"/>
      <c r="E647" s="30"/>
      <c r="F647" s="30"/>
      <c r="G647" s="30"/>
      <c r="H647" s="30"/>
      <c r="I647" s="30"/>
      <c r="J647" s="30"/>
      <c r="K647" s="30"/>
      <c r="L647" s="30"/>
      <c r="M647" s="30"/>
      <c r="N647" s="30"/>
      <c r="R647" s="240"/>
    </row>
    <row r="648">
      <c r="A648" s="30"/>
      <c r="B648" s="249"/>
      <c r="C648" s="249"/>
      <c r="D648" s="30"/>
      <c r="E648" s="30"/>
      <c r="F648" s="30"/>
      <c r="G648" s="30"/>
      <c r="H648" s="30"/>
      <c r="I648" s="30"/>
      <c r="J648" s="30"/>
      <c r="K648" s="30"/>
      <c r="L648" s="30"/>
      <c r="M648" s="30"/>
      <c r="N648" s="30"/>
      <c r="R648" s="240"/>
    </row>
    <row r="649">
      <c r="A649" s="30"/>
      <c r="B649" s="249"/>
      <c r="C649" s="249"/>
      <c r="D649" s="30"/>
      <c r="E649" s="30"/>
      <c r="F649" s="30"/>
      <c r="G649" s="30"/>
      <c r="H649" s="30"/>
      <c r="I649" s="30"/>
      <c r="J649" s="30"/>
      <c r="K649" s="30"/>
      <c r="L649" s="30"/>
      <c r="M649" s="30"/>
      <c r="N649" s="30"/>
      <c r="R649" s="240"/>
    </row>
    <row r="650">
      <c r="A650" s="30"/>
      <c r="B650" s="249"/>
      <c r="C650" s="249"/>
      <c r="D650" s="30"/>
      <c r="E650" s="30"/>
      <c r="F650" s="30"/>
      <c r="G650" s="30"/>
      <c r="H650" s="30"/>
      <c r="I650" s="30"/>
      <c r="J650" s="30"/>
      <c r="K650" s="30"/>
      <c r="L650" s="30"/>
      <c r="M650" s="30"/>
      <c r="N650" s="30"/>
      <c r="R650" s="240"/>
    </row>
    <row r="651">
      <c r="A651" s="30"/>
      <c r="B651" s="249"/>
      <c r="C651" s="249"/>
      <c r="D651" s="30"/>
      <c r="E651" s="30"/>
      <c r="F651" s="30"/>
      <c r="G651" s="30"/>
      <c r="H651" s="30"/>
      <c r="I651" s="30"/>
      <c r="J651" s="30"/>
      <c r="K651" s="30"/>
      <c r="L651" s="30"/>
      <c r="M651" s="30"/>
      <c r="N651" s="30"/>
      <c r="R651" s="240"/>
    </row>
    <row r="652">
      <c r="A652" s="30"/>
      <c r="B652" s="249"/>
      <c r="C652" s="249"/>
      <c r="D652" s="30"/>
      <c r="E652" s="30"/>
      <c r="F652" s="30"/>
      <c r="G652" s="30"/>
      <c r="H652" s="30"/>
      <c r="I652" s="30"/>
      <c r="J652" s="30"/>
      <c r="K652" s="30"/>
      <c r="L652" s="30"/>
      <c r="M652" s="30"/>
      <c r="N652" s="30"/>
      <c r="R652" s="240"/>
    </row>
    <row r="653">
      <c r="A653" s="30"/>
      <c r="B653" s="249"/>
      <c r="C653" s="249"/>
      <c r="D653" s="30"/>
      <c r="E653" s="30"/>
      <c r="F653" s="30"/>
      <c r="G653" s="30"/>
      <c r="H653" s="30"/>
      <c r="I653" s="30"/>
      <c r="J653" s="30"/>
      <c r="K653" s="30"/>
      <c r="L653" s="30"/>
      <c r="M653" s="30"/>
      <c r="N653" s="30"/>
      <c r="R653" s="240"/>
    </row>
    <row r="654">
      <c r="A654" s="30"/>
      <c r="B654" s="249"/>
      <c r="C654" s="249"/>
      <c r="D654" s="30"/>
      <c r="E654" s="30"/>
      <c r="F654" s="30"/>
      <c r="G654" s="30"/>
      <c r="H654" s="30"/>
      <c r="I654" s="30"/>
      <c r="J654" s="30"/>
      <c r="K654" s="30"/>
      <c r="L654" s="30"/>
      <c r="M654" s="30"/>
      <c r="N654" s="30"/>
      <c r="R654" s="240"/>
    </row>
    <row r="655">
      <c r="A655" s="30"/>
      <c r="B655" s="249"/>
      <c r="C655" s="249"/>
      <c r="D655" s="30"/>
      <c r="E655" s="30"/>
      <c r="F655" s="30"/>
      <c r="G655" s="30"/>
      <c r="H655" s="30"/>
      <c r="I655" s="30"/>
      <c r="J655" s="30"/>
      <c r="K655" s="30"/>
      <c r="L655" s="30"/>
      <c r="M655" s="30"/>
      <c r="N655" s="30"/>
      <c r="R655" s="240"/>
    </row>
    <row r="656">
      <c r="A656" s="30"/>
      <c r="B656" s="249"/>
      <c r="C656" s="249"/>
      <c r="D656" s="30"/>
      <c r="E656" s="30"/>
      <c r="F656" s="30"/>
      <c r="G656" s="30"/>
      <c r="H656" s="30"/>
      <c r="I656" s="30"/>
      <c r="J656" s="30"/>
      <c r="K656" s="30"/>
      <c r="L656" s="30"/>
      <c r="M656" s="30"/>
      <c r="N656" s="30"/>
      <c r="R656" s="240"/>
    </row>
    <row r="657">
      <c r="A657" s="30"/>
      <c r="B657" s="249"/>
      <c r="C657" s="249"/>
      <c r="D657" s="30"/>
      <c r="E657" s="30"/>
      <c r="F657" s="30"/>
      <c r="G657" s="30"/>
      <c r="H657" s="30"/>
      <c r="I657" s="30"/>
      <c r="J657" s="30"/>
      <c r="K657" s="30"/>
      <c r="L657" s="30"/>
      <c r="M657" s="30"/>
      <c r="N657" s="30"/>
      <c r="R657" s="240"/>
    </row>
    <row r="658">
      <c r="A658" s="30"/>
      <c r="B658" s="249"/>
      <c r="C658" s="249"/>
      <c r="D658" s="30"/>
      <c r="E658" s="30"/>
      <c r="F658" s="30"/>
      <c r="G658" s="30"/>
      <c r="H658" s="30"/>
      <c r="I658" s="30"/>
      <c r="J658" s="30"/>
      <c r="K658" s="30"/>
      <c r="L658" s="30"/>
      <c r="M658" s="30"/>
      <c r="N658" s="30"/>
      <c r="R658" s="240"/>
    </row>
    <row r="659">
      <c r="A659" s="30"/>
      <c r="B659" s="249"/>
      <c r="C659" s="249"/>
      <c r="D659" s="30"/>
      <c r="E659" s="30"/>
      <c r="F659" s="30"/>
      <c r="G659" s="30"/>
      <c r="H659" s="30"/>
      <c r="I659" s="30"/>
      <c r="J659" s="30"/>
      <c r="K659" s="30"/>
      <c r="L659" s="30"/>
      <c r="M659" s="30"/>
      <c r="N659" s="30"/>
      <c r="R659" s="240"/>
    </row>
    <row r="660">
      <c r="A660" s="30"/>
      <c r="B660" s="249"/>
      <c r="C660" s="249"/>
      <c r="D660" s="30"/>
      <c r="E660" s="30"/>
      <c r="F660" s="30"/>
      <c r="G660" s="30"/>
      <c r="H660" s="30"/>
      <c r="I660" s="30"/>
      <c r="J660" s="30"/>
      <c r="K660" s="30"/>
      <c r="L660" s="30"/>
      <c r="M660" s="30"/>
      <c r="N660" s="30"/>
      <c r="R660" s="240"/>
    </row>
    <row r="661">
      <c r="A661" s="30"/>
      <c r="B661" s="249"/>
      <c r="C661" s="249"/>
      <c r="D661" s="30"/>
      <c r="E661" s="30"/>
      <c r="F661" s="30"/>
      <c r="G661" s="30"/>
      <c r="H661" s="30"/>
      <c r="I661" s="30"/>
      <c r="J661" s="30"/>
      <c r="K661" s="30"/>
      <c r="L661" s="30"/>
      <c r="M661" s="30"/>
      <c r="N661" s="30"/>
      <c r="R661" s="240"/>
    </row>
    <row r="662">
      <c r="A662" s="30"/>
      <c r="B662" s="249"/>
      <c r="C662" s="249"/>
      <c r="D662" s="30"/>
      <c r="E662" s="30"/>
      <c r="F662" s="30"/>
      <c r="G662" s="30"/>
      <c r="H662" s="30"/>
      <c r="I662" s="30"/>
      <c r="J662" s="30"/>
      <c r="K662" s="30"/>
      <c r="L662" s="30"/>
      <c r="M662" s="30"/>
      <c r="N662" s="30"/>
      <c r="R662" s="240"/>
    </row>
    <row r="663">
      <c r="A663" s="30"/>
      <c r="B663" s="249"/>
      <c r="C663" s="249"/>
      <c r="D663" s="30"/>
      <c r="E663" s="30"/>
      <c r="F663" s="30"/>
      <c r="G663" s="30"/>
      <c r="H663" s="30"/>
      <c r="I663" s="30"/>
      <c r="J663" s="30"/>
      <c r="K663" s="30"/>
      <c r="L663" s="30"/>
      <c r="M663" s="30"/>
      <c r="N663" s="30"/>
      <c r="R663" s="240"/>
    </row>
    <row r="664">
      <c r="A664" s="30"/>
      <c r="B664" s="249"/>
      <c r="C664" s="249"/>
      <c r="D664" s="30"/>
      <c r="E664" s="30"/>
      <c r="F664" s="30"/>
      <c r="G664" s="30"/>
      <c r="H664" s="30"/>
      <c r="I664" s="30"/>
      <c r="J664" s="30"/>
      <c r="K664" s="30"/>
      <c r="L664" s="30"/>
      <c r="M664" s="30"/>
      <c r="N664" s="30"/>
      <c r="R664" s="240"/>
    </row>
    <row r="665">
      <c r="A665" s="30"/>
      <c r="B665" s="249"/>
      <c r="C665" s="249"/>
      <c r="D665" s="30"/>
      <c r="E665" s="30"/>
      <c r="F665" s="30"/>
      <c r="G665" s="30"/>
      <c r="H665" s="30"/>
      <c r="I665" s="30"/>
      <c r="J665" s="30"/>
      <c r="K665" s="30"/>
      <c r="L665" s="30"/>
      <c r="M665" s="30"/>
      <c r="N665" s="30"/>
      <c r="R665" s="240"/>
    </row>
    <row r="666">
      <c r="A666" s="30"/>
      <c r="B666" s="249"/>
      <c r="C666" s="249"/>
      <c r="D666" s="30"/>
      <c r="E666" s="30"/>
      <c r="F666" s="30"/>
      <c r="G666" s="30"/>
      <c r="H666" s="30"/>
      <c r="I666" s="30"/>
      <c r="J666" s="30"/>
      <c r="K666" s="30"/>
      <c r="L666" s="30"/>
      <c r="M666" s="30"/>
      <c r="N666" s="30"/>
      <c r="R666" s="240"/>
    </row>
    <row r="667">
      <c r="A667" s="30"/>
      <c r="B667" s="249"/>
      <c r="C667" s="249"/>
      <c r="D667" s="30"/>
      <c r="E667" s="30"/>
      <c r="F667" s="30"/>
      <c r="G667" s="30"/>
      <c r="H667" s="30"/>
      <c r="I667" s="30"/>
      <c r="J667" s="30"/>
      <c r="K667" s="30"/>
      <c r="L667" s="30"/>
      <c r="M667" s="30"/>
      <c r="N667" s="30"/>
      <c r="R667" s="240"/>
    </row>
    <row r="668">
      <c r="A668" s="30"/>
      <c r="B668" s="249"/>
      <c r="C668" s="249"/>
      <c r="D668" s="30"/>
      <c r="E668" s="30"/>
      <c r="F668" s="30"/>
      <c r="G668" s="30"/>
      <c r="H668" s="30"/>
      <c r="I668" s="30"/>
      <c r="J668" s="30"/>
      <c r="K668" s="30"/>
      <c r="L668" s="30"/>
      <c r="M668" s="30"/>
      <c r="N668" s="30"/>
      <c r="R668" s="240"/>
    </row>
    <row r="669">
      <c r="A669" s="30"/>
      <c r="B669" s="249"/>
      <c r="C669" s="249"/>
      <c r="D669" s="30"/>
      <c r="E669" s="30"/>
      <c r="F669" s="30"/>
      <c r="G669" s="30"/>
      <c r="H669" s="30"/>
      <c r="I669" s="30"/>
      <c r="J669" s="30"/>
      <c r="K669" s="30"/>
      <c r="L669" s="30"/>
      <c r="M669" s="30"/>
      <c r="N669" s="30"/>
      <c r="R669" s="240"/>
    </row>
    <row r="670">
      <c r="A670" s="30"/>
      <c r="B670" s="249"/>
      <c r="C670" s="249"/>
      <c r="D670" s="30"/>
      <c r="E670" s="30"/>
      <c r="F670" s="30"/>
      <c r="G670" s="30"/>
      <c r="H670" s="30"/>
      <c r="I670" s="30"/>
      <c r="J670" s="30"/>
      <c r="K670" s="30"/>
      <c r="L670" s="30"/>
      <c r="M670" s="30"/>
      <c r="N670" s="30"/>
      <c r="R670" s="240"/>
    </row>
    <row r="671">
      <c r="A671" s="30"/>
      <c r="B671" s="249"/>
      <c r="C671" s="249"/>
      <c r="D671" s="30"/>
      <c r="E671" s="30"/>
      <c r="F671" s="30"/>
      <c r="G671" s="30"/>
      <c r="H671" s="30"/>
      <c r="I671" s="30"/>
      <c r="J671" s="30"/>
      <c r="K671" s="30"/>
      <c r="L671" s="30"/>
      <c r="M671" s="30"/>
      <c r="N671" s="30"/>
      <c r="R671" s="240"/>
    </row>
    <row r="672">
      <c r="A672" s="30"/>
      <c r="B672" s="249"/>
      <c r="C672" s="249"/>
      <c r="D672" s="30"/>
      <c r="E672" s="30"/>
      <c r="F672" s="30"/>
      <c r="G672" s="30"/>
      <c r="H672" s="30"/>
      <c r="I672" s="30"/>
      <c r="J672" s="30"/>
      <c r="K672" s="30"/>
      <c r="L672" s="30"/>
      <c r="M672" s="30"/>
      <c r="N672" s="30"/>
      <c r="R672" s="240"/>
    </row>
    <row r="673">
      <c r="A673" s="30"/>
      <c r="B673" s="249"/>
      <c r="C673" s="249"/>
      <c r="D673" s="30"/>
      <c r="E673" s="30"/>
      <c r="F673" s="30"/>
      <c r="G673" s="30"/>
      <c r="H673" s="30"/>
      <c r="I673" s="30"/>
      <c r="J673" s="30"/>
      <c r="K673" s="30"/>
      <c r="L673" s="30"/>
      <c r="M673" s="30"/>
      <c r="N673" s="30"/>
      <c r="R673" s="240"/>
    </row>
    <row r="674">
      <c r="A674" s="30"/>
      <c r="B674" s="249"/>
      <c r="C674" s="249"/>
      <c r="D674" s="30"/>
      <c r="E674" s="30"/>
      <c r="F674" s="30"/>
      <c r="G674" s="30"/>
      <c r="H674" s="30"/>
      <c r="I674" s="30"/>
      <c r="J674" s="30"/>
      <c r="K674" s="30"/>
      <c r="L674" s="30"/>
      <c r="M674" s="30"/>
      <c r="N674" s="30"/>
      <c r="R674" s="240"/>
    </row>
    <row r="675">
      <c r="A675" s="30"/>
      <c r="B675" s="249"/>
      <c r="C675" s="249"/>
      <c r="D675" s="30"/>
      <c r="E675" s="30"/>
      <c r="F675" s="30"/>
      <c r="G675" s="30"/>
      <c r="H675" s="30"/>
      <c r="I675" s="30"/>
      <c r="J675" s="30"/>
      <c r="K675" s="30"/>
      <c r="L675" s="30"/>
      <c r="M675" s="30"/>
      <c r="N675" s="30"/>
      <c r="R675" s="240"/>
    </row>
    <row r="676">
      <c r="A676" s="30"/>
      <c r="B676" s="249"/>
      <c r="C676" s="249"/>
      <c r="D676" s="30"/>
      <c r="E676" s="30"/>
      <c r="F676" s="30"/>
      <c r="G676" s="30"/>
      <c r="H676" s="30"/>
      <c r="I676" s="30"/>
      <c r="J676" s="30"/>
      <c r="K676" s="30"/>
      <c r="L676" s="30"/>
      <c r="M676" s="30"/>
      <c r="N676" s="30"/>
      <c r="R676" s="240"/>
    </row>
    <row r="677">
      <c r="A677" s="30"/>
      <c r="B677" s="249"/>
      <c r="C677" s="249"/>
      <c r="D677" s="30"/>
      <c r="E677" s="30"/>
      <c r="F677" s="30"/>
      <c r="G677" s="30"/>
      <c r="H677" s="30"/>
      <c r="I677" s="30"/>
      <c r="J677" s="30"/>
      <c r="K677" s="30"/>
      <c r="L677" s="30"/>
      <c r="M677" s="30"/>
      <c r="N677" s="30"/>
      <c r="R677" s="240"/>
    </row>
    <row r="678">
      <c r="A678" s="30"/>
      <c r="B678" s="249"/>
      <c r="C678" s="249"/>
      <c r="D678" s="30"/>
      <c r="E678" s="30"/>
      <c r="F678" s="30"/>
      <c r="G678" s="30"/>
      <c r="H678" s="30"/>
      <c r="I678" s="30"/>
      <c r="J678" s="30"/>
      <c r="K678" s="30"/>
      <c r="L678" s="30"/>
      <c r="M678" s="30"/>
      <c r="N678" s="30"/>
      <c r="R678" s="240"/>
    </row>
    <row r="679">
      <c r="A679" s="30"/>
      <c r="B679" s="249"/>
      <c r="C679" s="249"/>
      <c r="D679" s="30"/>
      <c r="E679" s="30"/>
      <c r="F679" s="30"/>
      <c r="G679" s="30"/>
      <c r="H679" s="30"/>
      <c r="I679" s="30"/>
      <c r="J679" s="30"/>
      <c r="K679" s="30"/>
      <c r="L679" s="30"/>
      <c r="M679" s="30"/>
      <c r="N679" s="30"/>
      <c r="R679" s="240"/>
    </row>
    <row r="680">
      <c r="A680" s="30"/>
      <c r="B680" s="249"/>
      <c r="C680" s="249"/>
      <c r="D680" s="30"/>
      <c r="E680" s="30"/>
      <c r="F680" s="30"/>
      <c r="G680" s="30"/>
      <c r="H680" s="30"/>
      <c r="I680" s="30"/>
      <c r="J680" s="30"/>
      <c r="K680" s="30"/>
      <c r="L680" s="30"/>
      <c r="M680" s="30"/>
      <c r="N680" s="30"/>
      <c r="R680" s="240"/>
    </row>
    <row r="681">
      <c r="A681" s="30"/>
      <c r="B681" s="249"/>
      <c r="C681" s="249"/>
      <c r="D681" s="30"/>
      <c r="E681" s="30"/>
      <c r="F681" s="30"/>
      <c r="G681" s="30"/>
      <c r="H681" s="30"/>
      <c r="I681" s="30"/>
      <c r="J681" s="30"/>
      <c r="K681" s="30"/>
      <c r="L681" s="30"/>
      <c r="M681" s="30"/>
      <c r="N681" s="30"/>
      <c r="R681" s="240"/>
    </row>
    <row r="682">
      <c r="A682" s="30"/>
      <c r="B682" s="249"/>
      <c r="C682" s="249"/>
      <c r="D682" s="30"/>
      <c r="E682" s="30"/>
      <c r="F682" s="30"/>
      <c r="G682" s="30"/>
      <c r="H682" s="30"/>
      <c r="I682" s="30"/>
      <c r="J682" s="30"/>
      <c r="K682" s="30"/>
      <c r="L682" s="30"/>
      <c r="M682" s="30"/>
      <c r="N682" s="30"/>
      <c r="R682" s="240"/>
    </row>
    <row r="683">
      <c r="A683" s="30"/>
      <c r="B683" s="249"/>
      <c r="C683" s="249"/>
      <c r="D683" s="30"/>
      <c r="E683" s="30"/>
      <c r="F683" s="30"/>
      <c r="G683" s="30"/>
      <c r="H683" s="30"/>
      <c r="I683" s="30"/>
      <c r="J683" s="30"/>
      <c r="K683" s="30"/>
      <c r="L683" s="30"/>
      <c r="M683" s="30"/>
      <c r="N683" s="30"/>
      <c r="R683" s="240"/>
    </row>
    <row r="684">
      <c r="A684" s="30"/>
      <c r="B684" s="249"/>
      <c r="C684" s="249"/>
      <c r="D684" s="30"/>
      <c r="E684" s="30"/>
      <c r="F684" s="30"/>
      <c r="G684" s="30"/>
      <c r="H684" s="30"/>
      <c r="I684" s="30"/>
      <c r="J684" s="30"/>
      <c r="K684" s="30"/>
      <c r="L684" s="30"/>
      <c r="M684" s="30"/>
      <c r="N684" s="30"/>
      <c r="R684" s="240"/>
    </row>
    <row r="685">
      <c r="A685" s="30"/>
      <c r="B685" s="249"/>
      <c r="C685" s="249"/>
      <c r="D685" s="30"/>
      <c r="E685" s="30"/>
      <c r="F685" s="30"/>
      <c r="G685" s="30"/>
      <c r="H685" s="30"/>
      <c r="I685" s="30"/>
      <c r="J685" s="30"/>
      <c r="K685" s="30"/>
      <c r="L685" s="30"/>
      <c r="M685" s="30"/>
      <c r="N685" s="30"/>
      <c r="R685" s="240"/>
    </row>
    <row r="686">
      <c r="A686" s="30"/>
      <c r="B686" s="249"/>
      <c r="C686" s="249"/>
      <c r="D686" s="30"/>
      <c r="E686" s="30"/>
      <c r="F686" s="30"/>
      <c r="G686" s="30"/>
      <c r="H686" s="30"/>
      <c r="I686" s="30"/>
      <c r="J686" s="30"/>
      <c r="K686" s="30"/>
      <c r="L686" s="30"/>
      <c r="M686" s="30"/>
      <c r="N686" s="30"/>
      <c r="R686" s="240"/>
    </row>
    <row r="687">
      <c r="A687" s="30"/>
      <c r="B687" s="249"/>
      <c r="C687" s="249"/>
      <c r="D687" s="30"/>
      <c r="E687" s="30"/>
      <c r="F687" s="30"/>
      <c r="G687" s="30"/>
      <c r="H687" s="30"/>
      <c r="I687" s="30"/>
      <c r="J687" s="30"/>
      <c r="K687" s="30"/>
      <c r="L687" s="30"/>
      <c r="M687" s="30"/>
      <c r="N687" s="30"/>
      <c r="R687" s="240"/>
    </row>
    <row r="688">
      <c r="A688" s="30"/>
      <c r="B688" s="249"/>
      <c r="C688" s="249"/>
      <c r="D688" s="30"/>
      <c r="E688" s="30"/>
      <c r="F688" s="30"/>
      <c r="G688" s="30"/>
      <c r="H688" s="30"/>
      <c r="I688" s="30"/>
      <c r="J688" s="30"/>
      <c r="K688" s="30"/>
      <c r="L688" s="30"/>
      <c r="M688" s="30"/>
      <c r="N688" s="30"/>
      <c r="R688" s="240"/>
    </row>
    <row r="689">
      <c r="A689" s="30"/>
      <c r="B689" s="249"/>
      <c r="C689" s="249"/>
      <c r="D689" s="30"/>
      <c r="E689" s="30"/>
      <c r="F689" s="30"/>
      <c r="G689" s="30"/>
      <c r="H689" s="30"/>
      <c r="I689" s="30"/>
      <c r="J689" s="30"/>
      <c r="K689" s="30"/>
      <c r="L689" s="30"/>
      <c r="M689" s="30"/>
      <c r="N689" s="30"/>
      <c r="R689" s="240"/>
    </row>
    <row r="690">
      <c r="A690" s="30"/>
      <c r="B690" s="249"/>
      <c r="C690" s="249"/>
      <c r="D690" s="30"/>
      <c r="E690" s="30"/>
      <c r="F690" s="30"/>
      <c r="G690" s="30"/>
      <c r="H690" s="30"/>
      <c r="I690" s="30"/>
      <c r="J690" s="30"/>
      <c r="K690" s="30"/>
      <c r="L690" s="30"/>
      <c r="M690" s="30"/>
      <c r="N690" s="30"/>
      <c r="R690" s="240"/>
    </row>
    <row r="691">
      <c r="A691" s="30"/>
      <c r="B691" s="249"/>
      <c r="C691" s="249"/>
      <c r="D691" s="30"/>
      <c r="E691" s="30"/>
      <c r="F691" s="30"/>
      <c r="G691" s="30"/>
      <c r="H691" s="30"/>
      <c r="I691" s="30"/>
      <c r="J691" s="30"/>
      <c r="K691" s="30"/>
      <c r="L691" s="30"/>
      <c r="M691" s="30"/>
      <c r="N691" s="30"/>
      <c r="R691" s="240"/>
    </row>
    <row r="692">
      <c r="A692" s="30"/>
      <c r="B692" s="249"/>
      <c r="C692" s="249"/>
      <c r="D692" s="30"/>
      <c r="E692" s="30"/>
      <c r="F692" s="30"/>
      <c r="G692" s="30"/>
      <c r="H692" s="30"/>
      <c r="I692" s="30"/>
      <c r="J692" s="30"/>
      <c r="K692" s="30"/>
      <c r="L692" s="30"/>
      <c r="M692" s="30"/>
      <c r="N692" s="30"/>
      <c r="R692" s="240"/>
    </row>
    <row r="693">
      <c r="A693" s="30"/>
      <c r="B693" s="249"/>
      <c r="C693" s="249"/>
      <c r="D693" s="30"/>
      <c r="E693" s="30"/>
      <c r="F693" s="30"/>
      <c r="G693" s="30"/>
      <c r="H693" s="30"/>
      <c r="I693" s="30"/>
      <c r="J693" s="30"/>
      <c r="K693" s="30"/>
      <c r="L693" s="30"/>
      <c r="M693" s="30"/>
      <c r="N693" s="30"/>
      <c r="R693" s="240"/>
    </row>
    <row r="694">
      <c r="A694" s="30"/>
      <c r="B694" s="249"/>
      <c r="C694" s="249"/>
      <c r="D694" s="30"/>
      <c r="E694" s="30"/>
      <c r="F694" s="30"/>
      <c r="G694" s="30"/>
      <c r="H694" s="30"/>
      <c r="I694" s="30"/>
      <c r="J694" s="30"/>
      <c r="K694" s="30"/>
      <c r="L694" s="30"/>
      <c r="M694" s="30"/>
      <c r="N694" s="30"/>
      <c r="R694" s="240"/>
    </row>
    <row r="695">
      <c r="A695" s="30"/>
      <c r="B695" s="249"/>
      <c r="C695" s="249"/>
      <c r="D695" s="30"/>
      <c r="E695" s="30"/>
      <c r="F695" s="30"/>
      <c r="G695" s="30"/>
      <c r="H695" s="30"/>
      <c r="I695" s="30"/>
      <c r="J695" s="30"/>
      <c r="K695" s="30"/>
      <c r="L695" s="30"/>
      <c r="M695" s="30"/>
      <c r="N695" s="30"/>
      <c r="R695" s="240"/>
    </row>
    <row r="696">
      <c r="A696" s="30"/>
      <c r="B696" s="249"/>
      <c r="C696" s="249"/>
      <c r="D696" s="30"/>
      <c r="E696" s="30"/>
      <c r="F696" s="30"/>
      <c r="G696" s="30"/>
      <c r="H696" s="30"/>
      <c r="I696" s="30"/>
      <c r="J696" s="30"/>
      <c r="K696" s="30"/>
      <c r="L696" s="30"/>
      <c r="M696" s="30"/>
      <c r="N696" s="30"/>
      <c r="R696" s="240"/>
    </row>
    <row r="697">
      <c r="A697" s="30"/>
      <c r="B697" s="249"/>
      <c r="C697" s="249"/>
      <c r="D697" s="30"/>
      <c r="E697" s="30"/>
      <c r="F697" s="30"/>
      <c r="G697" s="30"/>
      <c r="H697" s="30"/>
      <c r="I697" s="30"/>
      <c r="J697" s="30"/>
      <c r="K697" s="30"/>
      <c r="L697" s="30"/>
      <c r="M697" s="30"/>
      <c r="N697" s="30"/>
      <c r="R697" s="240"/>
    </row>
    <row r="698">
      <c r="A698" s="30"/>
      <c r="B698" s="249"/>
      <c r="C698" s="249"/>
      <c r="D698" s="30"/>
      <c r="E698" s="30"/>
      <c r="F698" s="30"/>
      <c r="G698" s="30"/>
      <c r="H698" s="30"/>
      <c r="I698" s="30"/>
      <c r="J698" s="30"/>
      <c r="K698" s="30"/>
      <c r="L698" s="30"/>
      <c r="M698" s="30"/>
      <c r="N698" s="30"/>
      <c r="R698" s="240"/>
    </row>
    <row r="699">
      <c r="A699" s="30"/>
      <c r="B699" s="249"/>
      <c r="C699" s="249"/>
      <c r="D699" s="30"/>
      <c r="E699" s="30"/>
      <c r="F699" s="30"/>
      <c r="G699" s="30"/>
      <c r="H699" s="30"/>
      <c r="I699" s="30"/>
      <c r="J699" s="30"/>
      <c r="K699" s="30"/>
      <c r="L699" s="30"/>
      <c r="M699" s="30"/>
      <c r="N699" s="30"/>
      <c r="R699" s="240"/>
    </row>
    <row r="700">
      <c r="A700" s="30"/>
      <c r="B700" s="249"/>
      <c r="C700" s="249"/>
      <c r="D700" s="30"/>
      <c r="E700" s="30"/>
      <c r="F700" s="30"/>
      <c r="G700" s="30"/>
      <c r="H700" s="30"/>
      <c r="I700" s="30"/>
      <c r="J700" s="30"/>
      <c r="K700" s="30"/>
      <c r="L700" s="30"/>
      <c r="M700" s="30"/>
      <c r="N700" s="30"/>
      <c r="R700" s="240"/>
    </row>
    <row r="701">
      <c r="A701" s="30"/>
      <c r="B701" s="249"/>
      <c r="C701" s="249"/>
      <c r="D701" s="30"/>
      <c r="E701" s="30"/>
      <c r="F701" s="30"/>
      <c r="G701" s="30"/>
      <c r="H701" s="30"/>
      <c r="I701" s="30"/>
      <c r="J701" s="30"/>
      <c r="K701" s="30"/>
      <c r="L701" s="30"/>
      <c r="M701" s="30"/>
      <c r="N701" s="30"/>
      <c r="R701" s="240"/>
    </row>
    <row r="702">
      <c r="A702" s="30"/>
      <c r="B702" s="249"/>
      <c r="C702" s="249"/>
      <c r="D702" s="30"/>
      <c r="E702" s="30"/>
      <c r="F702" s="30"/>
      <c r="G702" s="30"/>
      <c r="H702" s="30"/>
      <c r="I702" s="30"/>
      <c r="J702" s="30"/>
      <c r="K702" s="30"/>
      <c r="L702" s="30"/>
      <c r="M702" s="30"/>
      <c r="N702" s="30"/>
      <c r="R702" s="240"/>
    </row>
    <row r="703">
      <c r="A703" s="30"/>
      <c r="B703" s="249"/>
      <c r="C703" s="249"/>
      <c r="D703" s="30"/>
      <c r="E703" s="30"/>
      <c r="F703" s="30"/>
      <c r="G703" s="30"/>
      <c r="H703" s="30"/>
      <c r="I703" s="30"/>
      <c r="J703" s="30"/>
      <c r="K703" s="30"/>
      <c r="L703" s="30"/>
      <c r="M703" s="30"/>
      <c r="N703" s="30"/>
      <c r="R703" s="240"/>
    </row>
    <row r="704">
      <c r="A704" s="30"/>
      <c r="B704" s="249"/>
      <c r="C704" s="249"/>
      <c r="D704" s="30"/>
      <c r="E704" s="30"/>
      <c r="F704" s="30"/>
      <c r="G704" s="30"/>
      <c r="H704" s="30"/>
      <c r="I704" s="30"/>
      <c r="J704" s="30"/>
      <c r="K704" s="30"/>
      <c r="L704" s="30"/>
      <c r="M704" s="30"/>
      <c r="N704" s="30"/>
      <c r="R704" s="240"/>
    </row>
    <row r="705">
      <c r="A705" s="30"/>
      <c r="B705" s="249"/>
      <c r="C705" s="249"/>
      <c r="D705" s="30"/>
      <c r="E705" s="30"/>
      <c r="F705" s="30"/>
      <c r="G705" s="30"/>
      <c r="H705" s="30"/>
      <c r="I705" s="30"/>
      <c r="J705" s="30"/>
      <c r="K705" s="30"/>
      <c r="L705" s="30"/>
      <c r="M705" s="30"/>
      <c r="N705" s="30"/>
      <c r="R705" s="240"/>
    </row>
    <row r="706">
      <c r="A706" s="30"/>
      <c r="B706" s="249"/>
      <c r="C706" s="249"/>
      <c r="D706" s="30"/>
      <c r="E706" s="30"/>
      <c r="F706" s="30"/>
      <c r="G706" s="30"/>
      <c r="H706" s="30"/>
      <c r="I706" s="30"/>
      <c r="J706" s="30"/>
      <c r="K706" s="30"/>
      <c r="L706" s="30"/>
      <c r="M706" s="30"/>
      <c r="N706" s="30"/>
      <c r="R706" s="240"/>
    </row>
    <row r="707">
      <c r="A707" s="30"/>
      <c r="B707" s="249"/>
      <c r="C707" s="249"/>
      <c r="D707" s="30"/>
      <c r="E707" s="30"/>
      <c r="F707" s="30"/>
      <c r="G707" s="30"/>
      <c r="H707" s="30"/>
      <c r="I707" s="30"/>
      <c r="J707" s="30"/>
      <c r="K707" s="30"/>
      <c r="L707" s="30"/>
      <c r="M707" s="30"/>
      <c r="N707" s="30"/>
      <c r="R707" s="240"/>
    </row>
    <row r="708">
      <c r="A708" s="30"/>
      <c r="B708" s="249"/>
      <c r="C708" s="249"/>
      <c r="D708" s="30"/>
      <c r="E708" s="30"/>
      <c r="F708" s="30"/>
      <c r="G708" s="30"/>
      <c r="H708" s="30"/>
      <c r="I708" s="30"/>
      <c r="J708" s="30"/>
      <c r="K708" s="30"/>
      <c r="L708" s="30"/>
      <c r="M708" s="30"/>
      <c r="N708" s="30"/>
      <c r="R708" s="240"/>
    </row>
    <row r="709">
      <c r="A709" s="30"/>
      <c r="B709" s="249"/>
      <c r="C709" s="249"/>
      <c r="D709" s="30"/>
      <c r="E709" s="30"/>
      <c r="F709" s="30"/>
      <c r="G709" s="30"/>
      <c r="H709" s="30"/>
      <c r="I709" s="30"/>
      <c r="J709" s="30"/>
      <c r="K709" s="30"/>
      <c r="L709" s="30"/>
      <c r="M709" s="30"/>
      <c r="N709" s="30"/>
      <c r="R709" s="240"/>
    </row>
    <row r="710">
      <c r="A710" s="30"/>
      <c r="B710" s="249"/>
      <c r="C710" s="249"/>
      <c r="D710" s="30"/>
      <c r="E710" s="30"/>
      <c r="F710" s="30"/>
      <c r="G710" s="30"/>
      <c r="H710" s="30"/>
      <c r="I710" s="30"/>
      <c r="J710" s="30"/>
      <c r="K710" s="30"/>
      <c r="L710" s="30"/>
      <c r="M710" s="30"/>
      <c r="N710" s="30"/>
      <c r="R710" s="240"/>
    </row>
    <row r="711">
      <c r="A711" s="30"/>
      <c r="B711" s="249"/>
      <c r="C711" s="249"/>
      <c r="D711" s="30"/>
      <c r="E711" s="30"/>
      <c r="F711" s="30"/>
      <c r="G711" s="30"/>
      <c r="H711" s="30"/>
      <c r="I711" s="30"/>
      <c r="J711" s="30"/>
      <c r="K711" s="30"/>
      <c r="L711" s="30"/>
      <c r="M711" s="30"/>
      <c r="N711" s="30"/>
      <c r="R711" s="240"/>
    </row>
    <row r="712">
      <c r="A712" s="30"/>
      <c r="B712" s="249"/>
      <c r="C712" s="249"/>
      <c r="D712" s="30"/>
      <c r="E712" s="30"/>
      <c r="F712" s="30"/>
      <c r="G712" s="30"/>
      <c r="H712" s="30"/>
      <c r="I712" s="30"/>
      <c r="J712" s="30"/>
      <c r="K712" s="30"/>
      <c r="L712" s="30"/>
      <c r="M712" s="30"/>
      <c r="N712" s="30"/>
      <c r="R712" s="240"/>
    </row>
    <row r="713">
      <c r="A713" s="30"/>
      <c r="B713" s="249"/>
      <c r="C713" s="249"/>
      <c r="D713" s="30"/>
      <c r="E713" s="30"/>
      <c r="F713" s="30"/>
      <c r="G713" s="30"/>
      <c r="H713" s="30"/>
      <c r="I713" s="30"/>
      <c r="J713" s="30"/>
      <c r="K713" s="30"/>
      <c r="L713" s="30"/>
      <c r="M713" s="30"/>
      <c r="N713" s="30"/>
      <c r="R713" s="240"/>
    </row>
    <row r="714">
      <c r="A714" s="30"/>
      <c r="B714" s="249"/>
      <c r="C714" s="249"/>
      <c r="D714" s="30"/>
      <c r="E714" s="30"/>
      <c r="F714" s="30"/>
      <c r="G714" s="30"/>
      <c r="H714" s="30"/>
      <c r="I714" s="30"/>
      <c r="J714" s="30"/>
      <c r="K714" s="30"/>
      <c r="L714" s="30"/>
      <c r="M714" s="30"/>
      <c r="N714" s="30"/>
      <c r="R714" s="240"/>
    </row>
    <row r="715">
      <c r="A715" s="30"/>
      <c r="B715" s="249"/>
      <c r="C715" s="249"/>
      <c r="D715" s="30"/>
      <c r="E715" s="30"/>
      <c r="F715" s="30"/>
      <c r="G715" s="30"/>
      <c r="H715" s="30"/>
      <c r="I715" s="30"/>
      <c r="J715" s="30"/>
      <c r="K715" s="30"/>
      <c r="L715" s="30"/>
      <c r="M715" s="30"/>
      <c r="N715" s="30"/>
      <c r="R715" s="240"/>
    </row>
    <row r="716">
      <c r="A716" s="30"/>
      <c r="B716" s="249"/>
      <c r="C716" s="249"/>
      <c r="D716" s="30"/>
      <c r="E716" s="30"/>
      <c r="F716" s="30"/>
      <c r="G716" s="30"/>
      <c r="H716" s="30"/>
      <c r="I716" s="30"/>
      <c r="J716" s="30"/>
      <c r="K716" s="30"/>
      <c r="L716" s="30"/>
      <c r="M716" s="30"/>
      <c r="N716" s="30"/>
      <c r="R716" s="240"/>
    </row>
    <row r="717">
      <c r="A717" s="30"/>
      <c r="B717" s="249"/>
      <c r="C717" s="249"/>
      <c r="D717" s="30"/>
      <c r="E717" s="30"/>
      <c r="F717" s="30"/>
      <c r="G717" s="30"/>
      <c r="H717" s="30"/>
      <c r="I717" s="30"/>
      <c r="J717" s="30"/>
      <c r="K717" s="30"/>
      <c r="L717" s="30"/>
      <c r="M717" s="30"/>
      <c r="N717" s="30"/>
      <c r="R717" s="240"/>
    </row>
    <row r="718">
      <c r="A718" s="30"/>
      <c r="B718" s="249"/>
      <c r="C718" s="249"/>
      <c r="D718" s="30"/>
      <c r="E718" s="30"/>
      <c r="F718" s="30"/>
      <c r="G718" s="30"/>
      <c r="H718" s="30"/>
      <c r="I718" s="30"/>
      <c r="J718" s="30"/>
      <c r="K718" s="30"/>
      <c r="L718" s="30"/>
      <c r="M718" s="30"/>
      <c r="N718" s="30"/>
      <c r="R718" s="240"/>
    </row>
    <row r="719">
      <c r="A719" s="30"/>
      <c r="B719" s="249"/>
      <c r="C719" s="249"/>
      <c r="D719" s="30"/>
      <c r="E719" s="30"/>
      <c r="F719" s="30"/>
      <c r="G719" s="30"/>
      <c r="H719" s="30"/>
      <c r="I719" s="30"/>
      <c r="J719" s="30"/>
      <c r="K719" s="30"/>
      <c r="L719" s="30"/>
      <c r="M719" s="30"/>
      <c r="N719" s="30"/>
      <c r="R719" s="240"/>
    </row>
    <row r="720">
      <c r="A720" s="30"/>
      <c r="B720" s="249"/>
      <c r="C720" s="249"/>
      <c r="D720" s="30"/>
      <c r="E720" s="30"/>
      <c r="F720" s="30"/>
      <c r="G720" s="30"/>
      <c r="H720" s="30"/>
      <c r="I720" s="30"/>
      <c r="J720" s="30"/>
      <c r="K720" s="30"/>
      <c r="L720" s="30"/>
      <c r="M720" s="30"/>
      <c r="N720" s="30"/>
      <c r="R720" s="240"/>
    </row>
    <row r="721">
      <c r="A721" s="30"/>
      <c r="B721" s="249"/>
      <c r="C721" s="249"/>
      <c r="D721" s="30"/>
      <c r="E721" s="30"/>
      <c r="F721" s="30"/>
      <c r="G721" s="30"/>
      <c r="H721" s="30"/>
      <c r="I721" s="30"/>
      <c r="J721" s="30"/>
      <c r="K721" s="30"/>
      <c r="L721" s="30"/>
      <c r="M721" s="30"/>
      <c r="N721" s="30"/>
      <c r="R721" s="240"/>
    </row>
    <row r="722">
      <c r="A722" s="30"/>
      <c r="B722" s="249"/>
      <c r="C722" s="249"/>
      <c r="D722" s="30"/>
      <c r="E722" s="30"/>
      <c r="F722" s="30"/>
      <c r="G722" s="30"/>
      <c r="H722" s="30"/>
      <c r="I722" s="30"/>
      <c r="J722" s="30"/>
      <c r="K722" s="30"/>
      <c r="L722" s="30"/>
      <c r="M722" s="30"/>
      <c r="N722" s="30"/>
      <c r="R722" s="240"/>
    </row>
    <row r="723">
      <c r="A723" s="30"/>
      <c r="B723" s="249"/>
      <c r="C723" s="249"/>
      <c r="D723" s="30"/>
      <c r="E723" s="30"/>
      <c r="F723" s="30"/>
      <c r="G723" s="30"/>
      <c r="H723" s="30"/>
      <c r="I723" s="30"/>
      <c r="J723" s="30"/>
      <c r="K723" s="30"/>
      <c r="L723" s="30"/>
      <c r="M723" s="30"/>
      <c r="N723" s="30"/>
      <c r="R723" s="240"/>
    </row>
    <row r="724">
      <c r="A724" s="30"/>
      <c r="B724" s="249"/>
      <c r="C724" s="249"/>
      <c r="D724" s="30"/>
      <c r="E724" s="30"/>
      <c r="F724" s="30"/>
      <c r="G724" s="30"/>
      <c r="H724" s="30"/>
      <c r="I724" s="30"/>
      <c r="J724" s="30"/>
      <c r="K724" s="30"/>
      <c r="L724" s="30"/>
      <c r="M724" s="30"/>
      <c r="N724" s="30"/>
      <c r="R724" s="240"/>
    </row>
    <row r="725">
      <c r="A725" s="30"/>
      <c r="B725" s="249"/>
      <c r="C725" s="249"/>
      <c r="D725" s="30"/>
      <c r="E725" s="30"/>
      <c r="F725" s="30"/>
      <c r="G725" s="30"/>
      <c r="H725" s="30"/>
      <c r="I725" s="30"/>
      <c r="J725" s="30"/>
      <c r="K725" s="30"/>
      <c r="L725" s="30"/>
      <c r="M725" s="30"/>
      <c r="N725" s="30"/>
      <c r="R725" s="240"/>
    </row>
    <row r="726">
      <c r="A726" s="30"/>
      <c r="B726" s="249"/>
      <c r="C726" s="249"/>
      <c r="D726" s="30"/>
      <c r="E726" s="30"/>
      <c r="F726" s="30"/>
      <c r="G726" s="30"/>
      <c r="H726" s="30"/>
      <c r="I726" s="30"/>
      <c r="J726" s="30"/>
      <c r="K726" s="30"/>
      <c r="L726" s="30"/>
      <c r="M726" s="30"/>
      <c r="N726" s="30"/>
      <c r="R726" s="240"/>
    </row>
    <row r="727">
      <c r="A727" s="30"/>
      <c r="B727" s="249"/>
      <c r="C727" s="249"/>
      <c r="D727" s="30"/>
      <c r="E727" s="30"/>
      <c r="F727" s="30"/>
      <c r="G727" s="30"/>
      <c r="H727" s="30"/>
      <c r="I727" s="30"/>
      <c r="J727" s="30"/>
      <c r="K727" s="30"/>
      <c r="L727" s="30"/>
      <c r="M727" s="30"/>
      <c r="N727" s="30"/>
      <c r="R727" s="240"/>
    </row>
    <row r="728">
      <c r="A728" s="30"/>
      <c r="B728" s="249"/>
      <c r="C728" s="249"/>
      <c r="D728" s="30"/>
      <c r="E728" s="30"/>
      <c r="F728" s="30"/>
      <c r="G728" s="30"/>
      <c r="H728" s="30"/>
      <c r="I728" s="30"/>
      <c r="J728" s="30"/>
      <c r="K728" s="30"/>
      <c r="L728" s="30"/>
      <c r="M728" s="30"/>
      <c r="N728" s="30"/>
      <c r="R728" s="240"/>
    </row>
    <row r="729">
      <c r="A729" s="30"/>
      <c r="B729" s="249"/>
      <c r="C729" s="249"/>
      <c r="D729" s="30"/>
      <c r="E729" s="30"/>
      <c r="F729" s="30"/>
      <c r="G729" s="30"/>
      <c r="H729" s="30"/>
      <c r="I729" s="30"/>
      <c r="J729" s="30"/>
      <c r="K729" s="30"/>
      <c r="L729" s="30"/>
      <c r="M729" s="30"/>
      <c r="N729" s="30"/>
      <c r="R729" s="240"/>
    </row>
    <row r="730">
      <c r="A730" s="30"/>
      <c r="B730" s="249"/>
      <c r="C730" s="249"/>
      <c r="D730" s="30"/>
      <c r="E730" s="30"/>
      <c r="F730" s="30"/>
      <c r="G730" s="30"/>
      <c r="H730" s="30"/>
      <c r="I730" s="30"/>
      <c r="J730" s="30"/>
      <c r="K730" s="30"/>
      <c r="L730" s="30"/>
      <c r="M730" s="30"/>
      <c r="N730" s="30"/>
      <c r="R730" s="240"/>
    </row>
    <row r="731">
      <c r="A731" s="30"/>
      <c r="B731" s="249"/>
      <c r="C731" s="249"/>
      <c r="D731" s="30"/>
      <c r="E731" s="30"/>
      <c r="F731" s="30"/>
      <c r="G731" s="30"/>
      <c r="H731" s="30"/>
      <c r="I731" s="30"/>
      <c r="J731" s="30"/>
      <c r="K731" s="30"/>
      <c r="L731" s="30"/>
      <c r="M731" s="30"/>
      <c r="N731" s="30"/>
      <c r="R731" s="240"/>
    </row>
    <row r="732">
      <c r="A732" s="30"/>
      <c r="B732" s="249"/>
      <c r="C732" s="249"/>
      <c r="D732" s="30"/>
      <c r="E732" s="30"/>
      <c r="F732" s="30"/>
      <c r="G732" s="30"/>
      <c r="H732" s="30"/>
      <c r="I732" s="30"/>
      <c r="J732" s="30"/>
      <c r="K732" s="30"/>
      <c r="L732" s="30"/>
      <c r="M732" s="30"/>
      <c r="N732" s="30"/>
      <c r="R732" s="240"/>
    </row>
    <row r="733">
      <c r="A733" s="30"/>
      <c r="B733" s="249"/>
      <c r="C733" s="249"/>
      <c r="D733" s="30"/>
      <c r="E733" s="30"/>
      <c r="F733" s="30"/>
      <c r="G733" s="30"/>
      <c r="H733" s="30"/>
      <c r="I733" s="30"/>
      <c r="J733" s="30"/>
      <c r="K733" s="30"/>
      <c r="L733" s="30"/>
      <c r="M733" s="30"/>
      <c r="N733" s="30"/>
      <c r="R733" s="240"/>
    </row>
    <row r="734">
      <c r="A734" s="30"/>
      <c r="B734" s="249"/>
      <c r="C734" s="249"/>
      <c r="D734" s="30"/>
      <c r="E734" s="30"/>
      <c r="F734" s="30"/>
      <c r="G734" s="30"/>
      <c r="H734" s="30"/>
      <c r="I734" s="30"/>
      <c r="J734" s="30"/>
      <c r="K734" s="30"/>
      <c r="L734" s="30"/>
      <c r="M734" s="30"/>
      <c r="N734" s="30"/>
      <c r="R734" s="240"/>
    </row>
    <row r="735">
      <c r="A735" s="30"/>
      <c r="B735" s="249"/>
      <c r="C735" s="249"/>
      <c r="D735" s="30"/>
      <c r="E735" s="30"/>
      <c r="F735" s="30"/>
      <c r="G735" s="30"/>
      <c r="H735" s="30"/>
      <c r="I735" s="30"/>
      <c r="J735" s="30"/>
      <c r="K735" s="30"/>
      <c r="L735" s="30"/>
      <c r="M735" s="30"/>
      <c r="N735" s="30"/>
      <c r="R735" s="240"/>
    </row>
    <row r="736">
      <c r="A736" s="30"/>
      <c r="B736" s="249"/>
      <c r="C736" s="249"/>
      <c r="D736" s="30"/>
      <c r="E736" s="30"/>
      <c r="F736" s="30"/>
      <c r="G736" s="30"/>
      <c r="H736" s="30"/>
      <c r="I736" s="30"/>
      <c r="J736" s="30"/>
      <c r="K736" s="30"/>
      <c r="L736" s="30"/>
      <c r="M736" s="30"/>
      <c r="N736" s="30"/>
      <c r="R736" s="240"/>
    </row>
    <row r="737">
      <c r="A737" s="30"/>
      <c r="B737" s="249"/>
      <c r="C737" s="249"/>
      <c r="D737" s="30"/>
      <c r="E737" s="30"/>
      <c r="F737" s="30"/>
      <c r="G737" s="30"/>
      <c r="H737" s="30"/>
      <c r="I737" s="30"/>
      <c r="J737" s="30"/>
      <c r="K737" s="30"/>
      <c r="L737" s="30"/>
      <c r="M737" s="30"/>
      <c r="N737" s="30"/>
      <c r="R737" s="240"/>
    </row>
    <row r="738">
      <c r="A738" s="30"/>
      <c r="B738" s="249"/>
      <c r="C738" s="249"/>
      <c r="D738" s="30"/>
      <c r="E738" s="30"/>
      <c r="F738" s="30"/>
      <c r="G738" s="30"/>
      <c r="H738" s="30"/>
      <c r="I738" s="30"/>
      <c r="J738" s="30"/>
      <c r="K738" s="30"/>
      <c r="L738" s="30"/>
      <c r="M738" s="30"/>
      <c r="N738" s="30"/>
      <c r="R738" s="240"/>
    </row>
    <row r="739">
      <c r="A739" s="30"/>
      <c r="B739" s="249"/>
      <c r="C739" s="249"/>
      <c r="D739" s="30"/>
      <c r="E739" s="30"/>
      <c r="F739" s="30"/>
      <c r="G739" s="30"/>
      <c r="H739" s="30"/>
      <c r="I739" s="30"/>
      <c r="J739" s="30"/>
      <c r="K739" s="30"/>
      <c r="L739" s="30"/>
      <c r="M739" s="30"/>
      <c r="N739" s="30"/>
      <c r="R739" s="240"/>
    </row>
    <row r="740">
      <c r="A740" s="30"/>
      <c r="B740" s="249"/>
      <c r="C740" s="249"/>
      <c r="D740" s="30"/>
      <c r="E740" s="30"/>
      <c r="F740" s="30"/>
      <c r="G740" s="30"/>
      <c r="H740" s="30"/>
      <c r="I740" s="30"/>
      <c r="J740" s="30"/>
      <c r="K740" s="30"/>
      <c r="L740" s="30"/>
      <c r="M740" s="30"/>
      <c r="N740" s="30"/>
      <c r="R740" s="240"/>
    </row>
    <row r="741">
      <c r="A741" s="30"/>
      <c r="B741" s="249"/>
      <c r="C741" s="249"/>
      <c r="D741" s="30"/>
      <c r="E741" s="30"/>
      <c r="F741" s="30"/>
      <c r="G741" s="30"/>
      <c r="H741" s="30"/>
      <c r="I741" s="30"/>
      <c r="J741" s="30"/>
      <c r="K741" s="30"/>
      <c r="L741" s="30"/>
      <c r="M741" s="30"/>
      <c r="N741" s="30"/>
      <c r="R741" s="240"/>
    </row>
    <row r="742">
      <c r="A742" s="30"/>
      <c r="B742" s="249"/>
      <c r="C742" s="249"/>
      <c r="D742" s="30"/>
      <c r="E742" s="30"/>
      <c r="F742" s="30"/>
      <c r="G742" s="30"/>
      <c r="H742" s="30"/>
      <c r="I742" s="30"/>
      <c r="J742" s="30"/>
      <c r="K742" s="30"/>
      <c r="L742" s="30"/>
      <c r="M742" s="30"/>
      <c r="N742" s="30"/>
      <c r="R742" s="240"/>
    </row>
    <row r="743">
      <c r="A743" s="30"/>
      <c r="B743" s="249"/>
      <c r="C743" s="249"/>
      <c r="D743" s="30"/>
      <c r="E743" s="30"/>
      <c r="F743" s="30"/>
      <c r="G743" s="30"/>
      <c r="H743" s="30"/>
      <c r="I743" s="30"/>
      <c r="J743" s="30"/>
      <c r="K743" s="30"/>
      <c r="L743" s="30"/>
      <c r="M743" s="30"/>
      <c r="N743" s="30"/>
      <c r="R743" s="240"/>
    </row>
    <row r="744">
      <c r="A744" s="30"/>
      <c r="B744" s="249"/>
      <c r="C744" s="249"/>
      <c r="D744" s="30"/>
      <c r="E744" s="30"/>
      <c r="F744" s="30"/>
      <c r="G744" s="30"/>
      <c r="H744" s="30"/>
      <c r="I744" s="30"/>
      <c r="J744" s="30"/>
      <c r="K744" s="30"/>
      <c r="L744" s="30"/>
      <c r="M744" s="30"/>
      <c r="N744" s="30"/>
      <c r="R744" s="240"/>
    </row>
    <row r="745">
      <c r="A745" s="30"/>
      <c r="B745" s="249"/>
      <c r="C745" s="249"/>
      <c r="D745" s="30"/>
      <c r="E745" s="30"/>
      <c r="F745" s="30"/>
      <c r="G745" s="30"/>
      <c r="H745" s="30"/>
      <c r="I745" s="30"/>
      <c r="J745" s="30"/>
      <c r="K745" s="30"/>
      <c r="L745" s="30"/>
      <c r="M745" s="30"/>
      <c r="N745" s="30"/>
      <c r="R745" s="240"/>
    </row>
    <row r="746">
      <c r="A746" s="30"/>
      <c r="B746" s="249"/>
      <c r="C746" s="249"/>
      <c r="D746" s="30"/>
      <c r="E746" s="30"/>
      <c r="F746" s="30"/>
      <c r="G746" s="30"/>
      <c r="H746" s="30"/>
      <c r="I746" s="30"/>
      <c r="J746" s="30"/>
      <c r="K746" s="30"/>
      <c r="L746" s="30"/>
      <c r="M746" s="30"/>
      <c r="N746" s="30"/>
      <c r="R746" s="240"/>
    </row>
    <row r="747">
      <c r="A747" s="30"/>
      <c r="B747" s="249"/>
      <c r="C747" s="249"/>
      <c r="D747" s="30"/>
      <c r="E747" s="30"/>
      <c r="F747" s="30"/>
      <c r="G747" s="30"/>
      <c r="H747" s="30"/>
      <c r="I747" s="30"/>
      <c r="J747" s="30"/>
      <c r="K747" s="30"/>
      <c r="L747" s="30"/>
      <c r="M747" s="30"/>
      <c r="N747" s="30"/>
      <c r="R747" s="240"/>
    </row>
    <row r="748">
      <c r="A748" s="30"/>
      <c r="B748" s="249"/>
      <c r="C748" s="249"/>
      <c r="D748" s="30"/>
      <c r="E748" s="30"/>
      <c r="F748" s="30"/>
      <c r="G748" s="30"/>
      <c r="H748" s="30"/>
      <c r="I748" s="30"/>
      <c r="J748" s="30"/>
      <c r="K748" s="30"/>
      <c r="L748" s="30"/>
      <c r="M748" s="30"/>
      <c r="N748" s="30"/>
      <c r="R748" s="240"/>
    </row>
    <row r="749">
      <c r="A749" s="30"/>
      <c r="B749" s="249"/>
      <c r="C749" s="249"/>
      <c r="D749" s="30"/>
      <c r="E749" s="30"/>
      <c r="F749" s="30"/>
      <c r="G749" s="30"/>
      <c r="H749" s="30"/>
      <c r="I749" s="30"/>
      <c r="J749" s="30"/>
      <c r="K749" s="30"/>
      <c r="L749" s="30"/>
      <c r="M749" s="30"/>
      <c r="N749" s="30"/>
      <c r="R749" s="240"/>
    </row>
    <row r="750">
      <c r="A750" s="30"/>
      <c r="B750" s="249"/>
      <c r="C750" s="249"/>
      <c r="D750" s="30"/>
      <c r="E750" s="30"/>
      <c r="F750" s="30"/>
      <c r="G750" s="30"/>
      <c r="H750" s="30"/>
      <c r="I750" s="30"/>
      <c r="J750" s="30"/>
      <c r="K750" s="30"/>
      <c r="L750" s="30"/>
      <c r="M750" s="30"/>
      <c r="N750" s="30"/>
      <c r="R750" s="240"/>
    </row>
    <row r="751">
      <c r="A751" s="30"/>
      <c r="B751" s="249"/>
      <c r="C751" s="249"/>
      <c r="D751" s="30"/>
      <c r="E751" s="30"/>
      <c r="F751" s="30"/>
      <c r="G751" s="30"/>
      <c r="H751" s="30"/>
      <c r="I751" s="30"/>
      <c r="J751" s="30"/>
      <c r="K751" s="30"/>
      <c r="L751" s="30"/>
      <c r="M751" s="30"/>
      <c r="N751" s="30"/>
      <c r="R751" s="240"/>
    </row>
    <row r="752">
      <c r="A752" s="30"/>
      <c r="B752" s="249"/>
      <c r="C752" s="249"/>
      <c r="D752" s="30"/>
      <c r="E752" s="30"/>
      <c r="F752" s="30"/>
      <c r="G752" s="30"/>
      <c r="H752" s="30"/>
      <c r="I752" s="30"/>
      <c r="J752" s="30"/>
      <c r="K752" s="30"/>
      <c r="L752" s="30"/>
      <c r="M752" s="30"/>
      <c r="N752" s="30"/>
      <c r="R752" s="240"/>
    </row>
    <row r="753">
      <c r="A753" s="30"/>
      <c r="B753" s="249"/>
      <c r="C753" s="249"/>
      <c r="D753" s="30"/>
      <c r="E753" s="30"/>
      <c r="F753" s="30"/>
      <c r="G753" s="30"/>
      <c r="H753" s="30"/>
      <c r="I753" s="30"/>
      <c r="J753" s="30"/>
      <c r="K753" s="30"/>
      <c r="L753" s="30"/>
      <c r="M753" s="30"/>
      <c r="N753" s="30"/>
      <c r="R753" s="240"/>
    </row>
    <row r="754">
      <c r="A754" s="30"/>
      <c r="B754" s="249"/>
      <c r="C754" s="249"/>
      <c r="D754" s="30"/>
      <c r="E754" s="30"/>
      <c r="F754" s="30"/>
      <c r="G754" s="30"/>
      <c r="H754" s="30"/>
      <c r="I754" s="30"/>
      <c r="J754" s="30"/>
      <c r="K754" s="30"/>
      <c r="L754" s="30"/>
      <c r="M754" s="30"/>
      <c r="N754" s="30"/>
      <c r="R754" s="240"/>
    </row>
    <row r="755">
      <c r="A755" s="30"/>
      <c r="B755" s="249"/>
      <c r="C755" s="249"/>
      <c r="D755" s="30"/>
      <c r="E755" s="30"/>
      <c r="F755" s="30"/>
      <c r="G755" s="30"/>
      <c r="H755" s="30"/>
      <c r="I755" s="30"/>
      <c r="J755" s="30"/>
      <c r="K755" s="30"/>
      <c r="L755" s="30"/>
      <c r="M755" s="30"/>
      <c r="N755" s="30"/>
      <c r="R755" s="240"/>
    </row>
    <row r="756">
      <c r="A756" s="30"/>
      <c r="B756" s="249"/>
      <c r="C756" s="249"/>
      <c r="D756" s="30"/>
      <c r="E756" s="30"/>
      <c r="F756" s="30"/>
      <c r="G756" s="30"/>
      <c r="H756" s="30"/>
      <c r="I756" s="30"/>
      <c r="J756" s="30"/>
      <c r="K756" s="30"/>
      <c r="L756" s="30"/>
      <c r="M756" s="30"/>
      <c r="N756" s="30"/>
      <c r="R756" s="240"/>
    </row>
    <row r="757">
      <c r="A757" s="30"/>
      <c r="B757" s="249"/>
      <c r="C757" s="249"/>
      <c r="D757" s="30"/>
      <c r="E757" s="30"/>
      <c r="F757" s="30"/>
      <c r="G757" s="30"/>
      <c r="H757" s="30"/>
      <c r="I757" s="30"/>
      <c r="J757" s="30"/>
      <c r="K757" s="30"/>
      <c r="L757" s="30"/>
      <c r="M757" s="30"/>
      <c r="N757" s="30"/>
      <c r="R757" s="240"/>
    </row>
    <row r="758">
      <c r="A758" s="30"/>
      <c r="B758" s="249"/>
      <c r="C758" s="249"/>
      <c r="D758" s="30"/>
      <c r="E758" s="30"/>
      <c r="F758" s="30"/>
      <c r="G758" s="30"/>
      <c r="H758" s="30"/>
      <c r="I758" s="30"/>
      <c r="J758" s="30"/>
      <c r="K758" s="30"/>
      <c r="L758" s="30"/>
      <c r="M758" s="30"/>
      <c r="N758" s="30"/>
      <c r="R758" s="240"/>
    </row>
    <row r="759">
      <c r="A759" s="30"/>
      <c r="B759" s="249"/>
      <c r="C759" s="249"/>
      <c r="D759" s="30"/>
      <c r="E759" s="30"/>
      <c r="F759" s="30"/>
      <c r="G759" s="30"/>
      <c r="H759" s="30"/>
      <c r="I759" s="30"/>
      <c r="J759" s="30"/>
      <c r="K759" s="30"/>
      <c r="L759" s="30"/>
      <c r="M759" s="30"/>
      <c r="N759" s="30"/>
      <c r="R759" s="240"/>
    </row>
    <row r="760">
      <c r="A760" s="30"/>
      <c r="B760" s="249"/>
      <c r="C760" s="249"/>
      <c r="D760" s="30"/>
      <c r="E760" s="30"/>
      <c r="F760" s="30"/>
      <c r="G760" s="30"/>
      <c r="H760" s="30"/>
      <c r="I760" s="30"/>
      <c r="J760" s="30"/>
      <c r="K760" s="30"/>
      <c r="L760" s="30"/>
      <c r="M760" s="30"/>
      <c r="N760" s="30"/>
      <c r="R760" s="240"/>
    </row>
    <row r="761">
      <c r="A761" s="30"/>
      <c r="B761" s="249"/>
      <c r="C761" s="249"/>
      <c r="D761" s="30"/>
      <c r="E761" s="30"/>
      <c r="F761" s="30"/>
      <c r="G761" s="30"/>
      <c r="H761" s="30"/>
      <c r="I761" s="30"/>
      <c r="J761" s="30"/>
      <c r="K761" s="30"/>
      <c r="L761" s="30"/>
      <c r="M761" s="30"/>
      <c r="N761" s="30"/>
      <c r="R761" s="240"/>
    </row>
    <row r="762">
      <c r="A762" s="30"/>
      <c r="B762" s="249"/>
      <c r="C762" s="249"/>
      <c r="D762" s="30"/>
      <c r="E762" s="30"/>
      <c r="F762" s="30"/>
      <c r="G762" s="30"/>
      <c r="H762" s="30"/>
      <c r="I762" s="30"/>
      <c r="J762" s="30"/>
      <c r="K762" s="30"/>
      <c r="L762" s="30"/>
      <c r="M762" s="30"/>
      <c r="N762" s="30"/>
      <c r="R762" s="240"/>
    </row>
    <row r="763">
      <c r="A763" s="30"/>
      <c r="B763" s="249"/>
      <c r="C763" s="249"/>
      <c r="D763" s="30"/>
      <c r="E763" s="30"/>
      <c r="F763" s="30"/>
      <c r="G763" s="30"/>
      <c r="H763" s="30"/>
      <c r="I763" s="30"/>
      <c r="J763" s="30"/>
      <c r="K763" s="30"/>
      <c r="L763" s="30"/>
      <c r="M763" s="30"/>
      <c r="N763" s="30"/>
      <c r="R763" s="240"/>
    </row>
    <row r="764">
      <c r="A764" s="30"/>
      <c r="B764" s="249"/>
      <c r="C764" s="249"/>
      <c r="D764" s="30"/>
      <c r="E764" s="30"/>
      <c r="F764" s="30"/>
      <c r="G764" s="30"/>
      <c r="H764" s="30"/>
      <c r="I764" s="30"/>
      <c r="J764" s="30"/>
      <c r="K764" s="30"/>
      <c r="L764" s="30"/>
      <c r="M764" s="30"/>
      <c r="N764" s="30"/>
      <c r="R764" s="240"/>
    </row>
    <row r="765">
      <c r="A765" s="30"/>
      <c r="B765" s="249"/>
      <c r="C765" s="249"/>
      <c r="D765" s="30"/>
      <c r="E765" s="30"/>
      <c r="F765" s="30"/>
      <c r="G765" s="30"/>
      <c r="H765" s="30"/>
      <c r="I765" s="30"/>
      <c r="J765" s="30"/>
      <c r="K765" s="30"/>
      <c r="L765" s="30"/>
      <c r="M765" s="30"/>
      <c r="N765" s="30"/>
      <c r="R765" s="240"/>
    </row>
    <row r="766">
      <c r="A766" s="30"/>
      <c r="B766" s="249"/>
      <c r="C766" s="249"/>
      <c r="D766" s="30"/>
      <c r="E766" s="30"/>
      <c r="F766" s="30"/>
      <c r="G766" s="30"/>
      <c r="H766" s="30"/>
      <c r="I766" s="30"/>
      <c r="J766" s="30"/>
      <c r="K766" s="30"/>
      <c r="L766" s="30"/>
      <c r="M766" s="30"/>
      <c r="N766" s="30"/>
      <c r="R766" s="240"/>
    </row>
    <row r="767">
      <c r="A767" s="30"/>
      <c r="B767" s="249"/>
      <c r="C767" s="249"/>
      <c r="D767" s="30"/>
      <c r="E767" s="30"/>
      <c r="F767" s="30"/>
      <c r="G767" s="30"/>
      <c r="H767" s="30"/>
      <c r="I767" s="30"/>
      <c r="J767" s="30"/>
      <c r="K767" s="30"/>
      <c r="L767" s="30"/>
      <c r="M767" s="30"/>
      <c r="N767" s="30"/>
      <c r="R767" s="240"/>
    </row>
    <row r="768">
      <c r="A768" s="30"/>
      <c r="B768" s="249"/>
      <c r="C768" s="249"/>
      <c r="D768" s="30"/>
      <c r="E768" s="30"/>
      <c r="F768" s="30"/>
      <c r="G768" s="30"/>
      <c r="H768" s="30"/>
      <c r="I768" s="30"/>
      <c r="J768" s="30"/>
      <c r="K768" s="30"/>
      <c r="L768" s="30"/>
      <c r="M768" s="30"/>
      <c r="N768" s="30"/>
      <c r="R768" s="240"/>
    </row>
    <row r="769">
      <c r="A769" s="30"/>
      <c r="B769" s="249"/>
      <c r="C769" s="249"/>
      <c r="D769" s="30"/>
      <c r="E769" s="30"/>
      <c r="F769" s="30"/>
      <c r="G769" s="30"/>
      <c r="H769" s="30"/>
      <c r="I769" s="30"/>
      <c r="J769" s="30"/>
      <c r="K769" s="30"/>
      <c r="L769" s="30"/>
      <c r="M769" s="30"/>
      <c r="N769" s="30"/>
      <c r="R769" s="240"/>
    </row>
    <row r="770">
      <c r="A770" s="30"/>
      <c r="B770" s="249"/>
      <c r="C770" s="249"/>
      <c r="D770" s="30"/>
      <c r="E770" s="30"/>
      <c r="F770" s="30"/>
      <c r="G770" s="30"/>
      <c r="H770" s="30"/>
      <c r="I770" s="30"/>
      <c r="J770" s="30"/>
      <c r="K770" s="30"/>
      <c r="L770" s="30"/>
      <c r="M770" s="30"/>
      <c r="N770" s="30"/>
      <c r="R770" s="240"/>
    </row>
    <row r="771">
      <c r="A771" s="30"/>
      <c r="B771" s="249"/>
      <c r="C771" s="249"/>
      <c r="D771" s="30"/>
      <c r="E771" s="30"/>
      <c r="F771" s="30"/>
      <c r="G771" s="30"/>
      <c r="H771" s="30"/>
      <c r="I771" s="30"/>
      <c r="J771" s="30"/>
      <c r="K771" s="30"/>
      <c r="L771" s="30"/>
      <c r="M771" s="30"/>
      <c r="N771" s="30"/>
      <c r="R771" s="240"/>
    </row>
    <row r="772">
      <c r="A772" s="30"/>
      <c r="B772" s="249"/>
      <c r="C772" s="249"/>
      <c r="D772" s="30"/>
      <c r="E772" s="30"/>
      <c r="F772" s="30"/>
      <c r="G772" s="30"/>
      <c r="H772" s="30"/>
      <c r="I772" s="30"/>
      <c r="J772" s="30"/>
      <c r="K772" s="30"/>
      <c r="L772" s="30"/>
      <c r="M772" s="30"/>
      <c r="N772" s="30"/>
      <c r="R772" s="240"/>
    </row>
    <row r="773">
      <c r="A773" s="30"/>
      <c r="B773" s="249"/>
      <c r="C773" s="249"/>
      <c r="D773" s="30"/>
      <c r="E773" s="30"/>
      <c r="F773" s="30"/>
      <c r="G773" s="30"/>
      <c r="H773" s="30"/>
      <c r="I773" s="30"/>
      <c r="J773" s="30"/>
      <c r="K773" s="30"/>
      <c r="L773" s="30"/>
      <c r="M773" s="30"/>
      <c r="N773" s="30"/>
      <c r="R773" s="240"/>
    </row>
    <row r="774">
      <c r="A774" s="30"/>
      <c r="B774" s="249"/>
      <c r="C774" s="249"/>
      <c r="D774" s="30"/>
      <c r="E774" s="30"/>
      <c r="F774" s="30"/>
      <c r="G774" s="30"/>
      <c r="H774" s="30"/>
      <c r="I774" s="30"/>
      <c r="J774" s="30"/>
      <c r="K774" s="30"/>
      <c r="L774" s="30"/>
      <c r="M774" s="30"/>
      <c r="N774" s="30"/>
      <c r="R774" s="240"/>
    </row>
    <row r="775">
      <c r="A775" s="30"/>
      <c r="B775" s="249"/>
      <c r="C775" s="249"/>
      <c r="D775" s="30"/>
      <c r="E775" s="30"/>
      <c r="F775" s="30"/>
      <c r="G775" s="30"/>
      <c r="H775" s="30"/>
      <c r="I775" s="30"/>
      <c r="J775" s="30"/>
      <c r="K775" s="30"/>
      <c r="L775" s="30"/>
      <c r="M775" s="30"/>
      <c r="N775" s="30"/>
      <c r="R775" s="240"/>
    </row>
    <row r="776">
      <c r="A776" s="30"/>
      <c r="B776" s="249"/>
      <c r="C776" s="249"/>
      <c r="D776" s="30"/>
      <c r="E776" s="30"/>
      <c r="F776" s="30"/>
      <c r="G776" s="30"/>
      <c r="H776" s="30"/>
      <c r="I776" s="30"/>
      <c r="J776" s="30"/>
      <c r="K776" s="30"/>
      <c r="L776" s="30"/>
      <c r="M776" s="30"/>
      <c r="N776" s="30"/>
      <c r="R776" s="240"/>
    </row>
    <row r="777">
      <c r="A777" s="30"/>
      <c r="B777" s="249"/>
      <c r="C777" s="249"/>
      <c r="D777" s="30"/>
      <c r="E777" s="30"/>
      <c r="F777" s="30"/>
      <c r="G777" s="30"/>
      <c r="H777" s="30"/>
      <c r="I777" s="30"/>
      <c r="J777" s="30"/>
      <c r="K777" s="30"/>
      <c r="L777" s="30"/>
      <c r="M777" s="30"/>
      <c r="N777" s="30"/>
      <c r="R777" s="240"/>
    </row>
    <row r="778">
      <c r="A778" s="30"/>
      <c r="B778" s="249"/>
      <c r="C778" s="249"/>
      <c r="D778" s="30"/>
      <c r="E778" s="30"/>
      <c r="F778" s="30"/>
      <c r="G778" s="30"/>
      <c r="H778" s="30"/>
      <c r="I778" s="30"/>
      <c r="J778" s="30"/>
      <c r="K778" s="30"/>
      <c r="L778" s="30"/>
      <c r="M778" s="30"/>
      <c r="N778" s="30"/>
      <c r="R778" s="240"/>
    </row>
    <row r="779">
      <c r="A779" s="30"/>
      <c r="B779" s="249"/>
      <c r="C779" s="249"/>
      <c r="D779" s="30"/>
      <c r="E779" s="30"/>
      <c r="F779" s="30"/>
      <c r="G779" s="30"/>
      <c r="H779" s="30"/>
      <c r="I779" s="30"/>
      <c r="J779" s="30"/>
      <c r="K779" s="30"/>
      <c r="L779" s="30"/>
      <c r="M779" s="30"/>
      <c r="N779" s="30"/>
      <c r="R779" s="240"/>
    </row>
    <row r="780">
      <c r="A780" s="30"/>
      <c r="B780" s="249"/>
      <c r="C780" s="249"/>
      <c r="D780" s="30"/>
      <c r="E780" s="30"/>
      <c r="F780" s="30"/>
      <c r="G780" s="30"/>
      <c r="H780" s="30"/>
      <c r="I780" s="30"/>
      <c r="J780" s="30"/>
      <c r="K780" s="30"/>
      <c r="L780" s="30"/>
      <c r="M780" s="30"/>
      <c r="N780" s="30"/>
      <c r="R780" s="240"/>
    </row>
    <row r="781">
      <c r="A781" s="30"/>
      <c r="B781" s="249"/>
      <c r="C781" s="249"/>
      <c r="D781" s="30"/>
      <c r="E781" s="30"/>
      <c r="F781" s="30"/>
      <c r="G781" s="30"/>
      <c r="H781" s="30"/>
      <c r="I781" s="30"/>
      <c r="J781" s="30"/>
      <c r="K781" s="30"/>
      <c r="L781" s="30"/>
      <c r="M781" s="30"/>
      <c r="N781" s="30"/>
      <c r="R781" s="240"/>
    </row>
    <row r="782">
      <c r="A782" s="30"/>
      <c r="B782" s="249"/>
      <c r="C782" s="249"/>
      <c r="D782" s="30"/>
      <c r="E782" s="30"/>
      <c r="F782" s="30"/>
      <c r="G782" s="30"/>
      <c r="H782" s="30"/>
      <c r="I782" s="30"/>
      <c r="J782" s="30"/>
      <c r="K782" s="30"/>
      <c r="L782" s="30"/>
      <c r="M782" s="30"/>
      <c r="N782" s="30"/>
      <c r="R782" s="240"/>
    </row>
    <row r="783">
      <c r="A783" s="30"/>
      <c r="B783" s="249"/>
      <c r="C783" s="249"/>
      <c r="D783" s="30"/>
      <c r="E783" s="30"/>
      <c r="F783" s="30"/>
      <c r="G783" s="30"/>
      <c r="H783" s="30"/>
      <c r="I783" s="30"/>
      <c r="J783" s="30"/>
      <c r="K783" s="30"/>
      <c r="L783" s="30"/>
      <c r="M783" s="30"/>
      <c r="N783" s="30"/>
      <c r="R783" s="240"/>
    </row>
    <row r="784">
      <c r="A784" s="30"/>
      <c r="B784" s="249"/>
      <c r="C784" s="249"/>
      <c r="D784" s="30"/>
      <c r="E784" s="30"/>
      <c r="F784" s="30"/>
      <c r="G784" s="30"/>
      <c r="H784" s="30"/>
      <c r="I784" s="30"/>
      <c r="J784" s="30"/>
      <c r="K784" s="30"/>
      <c r="L784" s="30"/>
      <c r="M784" s="30"/>
      <c r="N784" s="30"/>
      <c r="R784" s="240"/>
    </row>
    <row r="785">
      <c r="A785" s="30"/>
      <c r="B785" s="249"/>
      <c r="C785" s="249"/>
      <c r="D785" s="30"/>
      <c r="E785" s="30"/>
      <c r="F785" s="30"/>
      <c r="G785" s="30"/>
      <c r="H785" s="30"/>
      <c r="I785" s="30"/>
      <c r="J785" s="30"/>
      <c r="K785" s="30"/>
      <c r="L785" s="30"/>
      <c r="M785" s="30"/>
      <c r="N785" s="30"/>
      <c r="R785" s="240"/>
    </row>
    <row r="786">
      <c r="A786" s="30"/>
      <c r="B786" s="249"/>
      <c r="C786" s="249"/>
      <c r="D786" s="30"/>
      <c r="E786" s="30"/>
      <c r="F786" s="30"/>
      <c r="G786" s="30"/>
      <c r="H786" s="30"/>
      <c r="I786" s="30"/>
      <c r="J786" s="30"/>
      <c r="K786" s="30"/>
      <c r="L786" s="30"/>
      <c r="M786" s="30"/>
      <c r="N786" s="30"/>
      <c r="R786" s="240"/>
    </row>
    <row r="787">
      <c r="A787" s="30"/>
      <c r="B787" s="249"/>
      <c r="C787" s="249"/>
      <c r="D787" s="30"/>
      <c r="E787" s="30"/>
      <c r="F787" s="30"/>
      <c r="G787" s="30"/>
      <c r="H787" s="30"/>
      <c r="I787" s="30"/>
      <c r="J787" s="30"/>
      <c r="K787" s="30"/>
      <c r="L787" s="30"/>
      <c r="M787" s="30"/>
      <c r="N787" s="30"/>
      <c r="R787" s="240"/>
    </row>
    <row r="788">
      <c r="A788" s="30"/>
      <c r="B788" s="249"/>
      <c r="C788" s="249"/>
      <c r="D788" s="30"/>
      <c r="E788" s="30"/>
      <c r="F788" s="30"/>
      <c r="G788" s="30"/>
      <c r="H788" s="30"/>
      <c r="I788" s="30"/>
      <c r="J788" s="30"/>
      <c r="K788" s="30"/>
      <c r="L788" s="30"/>
      <c r="M788" s="30"/>
      <c r="N788" s="30"/>
      <c r="R788" s="240"/>
    </row>
    <row r="789">
      <c r="A789" s="30"/>
      <c r="B789" s="249"/>
      <c r="C789" s="249"/>
      <c r="D789" s="30"/>
      <c r="E789" s="30"/>
      <c r="F789" s="30"/>
      <c r="G789" s="30"/>
      <c r="H789" s="30"/>
      <c r="I789" s="30"/>
      <c r="J789" s="30"/>
      <c r="K789" s="30"/>
      <c r="L789" s="30"/>
      <c r="M789" s="30"/>
      <c r="N789" s="30"/>
      <c r="R789" s="240"/>
    </row>
    <row r="790">
      <c r="A790" s="30"/>
      <c r="B790" s="249"/>
      <c r="C790" s="249"/>
      <c r="D790" s="30"/>
      <c r="E790" s="30"/>
      <c r="F790" s="30"/>
      <c r="G790" s="30"/>
      <c r="H790" s="30"/>
      <c r="I790" s="30"/>
      <c r="J790" s="30"/>
      <c r="K790" s="30"/>
      <c r="L790" s="30"/>
      <c r="M790" s="30"/>
      <c r="N790" s="30"/>
      <c r="R790" s="240"/>
    </row>
    <row r="791">
      <c r="A791" s="30"/>
      <c r="B791" s="249"/>
      <c r="C791" s="249"/>
      <c r="D791" s="30"/>
      <c r="E791" s="30"/>
      <c r="F791" s="30"/>
      <c r="G791" s="30"/>
      <c r="H791" s="30"/>
      <c r="I791" s="30"/>
      <c r="J791" s="30"/>
      <c r="K791" s="30"/>
      <c r="L791" s="30"/>
      <c r="M791" s="30"/>
      <c r="N791" s="30"/>
      <c r="R791" s="240"/>
    </row>
    <row r="792">
      <c r="A792" s="30"/>
      <c r="B792" s="249"/>
      <c r="C792" s="249"/>
      <c r="D792" s="30"/>
      <c r="E792" s="30"/>
      <c r="F792" s="30"/>
      <c r="G792" s="30"/>
      <c r="H792" s="30"/>
      <c r="I792" s="30"/>
      <c r="J792" s="30"/>
      <c r="K792" s="30"/>
      <c r="L792" s="30"/>
      <c r="M792" s="30"/>
      <c r="N792" s="30"/>
      <c r="R792" s="240"/>
    </row>
    <row r="793">
      <c r="A793" s="30"/>
      <c r="B793" s="249"/>
      <c r="C793" s="249"/>
      <c r="D793" s="30"/>
      <c r="E793" s="30"/>
      <c r="F793" s="30"/>
      <c r="G793" s="30"/>
      <c r="H793" s="30"/>
      <c r="I793" s="30"/>
      <c r="J793" s="30"/>
      <c r="K793" s="30"/>
      <c r="L793" s="30"/>
      <c r="M793" s="30"/>
      <c r="N793" s="30"/>
      <c r="R793" s="240"/>
    </row>
    <row r="794">
      <c r="A794" s="30"/>
      <c r="B794" s="249"/>
      <c r="C794" s="249"/>
      <c r="D794" s="30"/>
      <c r="E794" s="30"/>
      <c r="F794" s="30"/>
      <c r="G794" s="30"/>
      <c r="H794" s="30"/>
      <c r="I794" s="30"/>
      <c r="J794" s="30"/>
      <c r="K794" s="30"/>
      <c r="L794" s="30"/>
      <c r="M794" s="30"/>
      <c r="N794" s="30"/>
      <c r="R794" s="240"/>
    </row>
    <row r="795">
      <c r="A795" s="30"/>
      <c r="B795" s="249"/>
      <c r="C795" s="249"/>
      <c r="D795" s="30"/>
      <c r="E795" s="30"/>
      <c r="F795" s="30"/>
      <c r="G795" s="30"/>
      <c r="H795" s="30"/>
      <c r="I795" s="30"/>
      <c r="J795" s="30"/>
      <c r="K795" s="30"/>
      <c r="L795" s="30"/>
      <c r="M795" s="30"/>
      <c r="N795" s="30"/>
      <c r="R795" s="240"/>
    </row>
    <row r="796">
      <c r="A796" s="30"/>
      <c r="B796" s="249"/>
      <c r="C796" s="249"/>
      <c r="D796" s="30"/>
      <c r="E796" s="30"/>
      <c r="F796" s="30"/>
      <c r="G796" s="30"/>
      <c r="H796" s="30"/>
      <c r="I796" s="30"/>
      <c r="J796" s="30"/>
      <c r="K796" s="30"/>
      <c r="L796" s="30"/>
      <c r="M796" s="30"/>
      <c r="N796" s="30"/>
      <c r="R796" s="240"/>
    </row>
    <row r="797">
      <c r="A797" s="30"/>
      <c r="B797" s="249"/>
      <c r="C797" s="249"/>
      <c r="D797" s="30"/>
      <c r="E797" s="30"/>
      <c r="F797" s="30"/>
      <c r="G797" s="30"/>
      <c r="H797" s="30"/>
      <c r="I797" s="30"/>
      <c r="J797" s="30"/>
      <c r="K797" s="30"/>
      <c r="L797" s="30"/>
      <c r="M797" s="30"/>
      <c r="N797" s="30"/>
      <c r="R797" s="240"/>
    </row>
    <row r="798">
      <c r="A798" s="30"/>
      <c r="B798" s="249"/>
      <c r="C798" s="249"/>
      <c r="D798" s="30"/>
      <c r="E798" s="30"/>
      <c r="F798" s="30"/>
      <c r="G798" s="30"/>
      <c r="H798" s="30"/>
      <c r="I798" s="30"/>
      <c r="J798" s="30"/>
      <c r="K798" s="30"/>
      <c r="L798" s="30"/>
      <c r="M798" s="30"/>
      <c r="N798" s="30"/>
      <c r="R798" s="240"/>
    </row>
    <row r="799">
      <c r="A799" s="30"/>
      <c r="B799" s="249"/>
      <c r="C799" s="249"/>
      <c r="D799" s="30"/>
      <c r="E799" s="30"/>
      <c r="F799" s="30"/>
      <c r="G799" s="30"/>
      <c r="H799" s="30"/>
      <c r="I799" s="30"/>
      <c r="J799" s="30"/>
      <c r="K799" s="30"/>
      <c r="L799" s="30"/>
      <c r="M799" s="30"/>
      <c r="N799" s="30"/>
      <c r="R799" s="240"/>
    </row>
    <row r="800">
      <c r="A800" s="30"/>
      <c r="B800" s="249"/>
      <c r="C800" s="249"/>
      <c r="D800" s="30"/>
      <c r="E800" s="30"/>
      <c r="F800" s="30"/>
      <c r="G800" s="30"/>
      <c r="H800" s="30"/>
      <c r="I800" s="30"/>
      <c r="J800" s="30"/>
      <c r="K800" s="30"/>
      <c r="L800" s="30"/>
      <c r="M800" s="30"/>
      <c r="N800" s="30"/>
      <c r="R800" s="240"/>
    </row>
    <row r="801">
      <c r="A801" s="30"/>
      <c r="B801" s="249"/>
      <c r="C801" s="249"/>
      <c r="D801" s="30"/>
      <c r="E801" s="30"/>
      <c r="F801" s="30"/>
      <c r="G801" s="30"/>
      <c r="H801" s="30"/>
      <c r="I801" s="30"/>
      <c r="J801" s="30"/>
      <c r="K801" s="30"/>
      <c r="L801" s="30"/>
      <c r="M801" s="30"/>
      <c r="N801" s="30"/>
      <c r="R801" s="240"/>
    </row>
    <row r="802">
      <c r="A802" s="30"/>
      <c r="B802" s="249"/>
      <c r="C802" s="249"/>
      <c r="D802" s="30"/>
      <c r="E802" s="30"/>
      <c r="F802" s="30"/>
      <c r="G802" s="30"/>
      <c r="H802" s="30"/>
      <c r="I802" s="30"/>
      <c r="J802" s="30"/>
      <c r="K802" s="30"/>
      <c r="L802" s="30"/>
      <c r="M802" s="30"/>
      <c r="N802" s="30"/>
      <c r="R802" s="240"/>
    </row>
    <row r="803">
      <c r="A803" s="30"/>
      <c r="B803" s="249"/>
      <c r="C803" s="249"/>
      <c r="D803" s="30"/>
      <c r="E803" s="30"/>
      <c r="F803" s="30"/>
      <c r="G803" s="30"/>
      <c r="H803" s="30"/>
      <c r="I803" s="30"/>
      <c r="J803" s="30"/>
      <c r="K803" s="30"/>
      <c r="L803" s="30"/>
      <c r="M803" s="30"/>
      <c r="N803" s="30"/>
      <c r="R803" s="240"/>
    </row>
    <row r="804">
      <c r="A804" s="30"/>
      <c r="B804" s="249"/>
      <c r="C804" s="249"/>
      <c r="D804" s="30"/>
      <c r="E804" s="30"/>
      <c r="F804" s="30"/>
      <c r="G804" s="30"/>
      <c r="H804" s="30"/>
      <c r="I804" s="30"/>
      <c r="J804" s="30"/>
      <c r="K804" s="30"/>
      <c r="L804" s="30"/>
      <c r="M804" s="30"/>
      <c r="N804" s="30"/>
      <c r="R804" s="240"/>
    </row>
    <row r="805">
      <c r="A805" s="30"/>
      <c r="B805" s="249"/>
      <c r="C805" s="249"/>
      <c r="D805" s="30"/>
      <c r="E805" s="30"/>
      <c r="F805" s="30"/>
      <c r="G805" s="30"/>
      <c r="H805" s="30"/>
      <c r="I805" s="30"/>
      <c r="J805" s="30"/>
      <c r="K805" s="30"/>
      <c r="L805" s="30"/>
      <c r="M805" s="30"/>
      <c r="N805" s="30"/>
      <c r="R805" s="240"/>
    </row>
    <row r="806">
      <c r="A806" s="30"/>
      <c r="B806" s="249"/>
      <c r="C806" s="249"/>
      <c r="D806" s="30"/>
      <c r="E806" s="30"/>
      <c r="F806" s="30"/>
      <c r="G806" s="30"/>
      <c r="H806" s="30"/>
      <c r="I806" s="30"/>
      <c r="J806" s="30"/>
      <c r="K806" s="30"/>
      <c r="L806" s="30"/>
      <c r="M806" s="30"/>
      <c r="N806" s="30"/>
      <c r="R806" s="240"/>
    </row>
    <row r="807">
      <c r="A807" s="30"/>
      <c r="B807" s="249"/>
      <c r="C807" s="249"/>
      <c r="D807" s="30"/>
      <c r="E807" s="30"/>
      <c r="F807" s="30"/>
      <c r="G807" s="30"/>
      <c r="H807" s="30"/>
      <c r="I807" s="30"/>
      <c r="J807" s="30"/>
      <c r="K807" s="30"/>
      <c r="L807" s="30"/>
      <c r="M807" s="30"/>
      <c r="N807" s="30"/>
      <c r="R807" s="240"/>
    </row>
    <row r="808">
      <c r="A808" s="30"/>
      <c r="B808" s="249"/>
      <c r="C808" s="249"/>
      <c r="D808" s="30"/>
      <c r="E808" s="30"/>
      <c r="F808" s="30"/>
      <c r="G808" s="30"/>
      <c r="H808" s="30"/>
      <c r="I808" s="30"/>
      <c r="J808" s="30"/>
      <c r="K808" s="30"/>
      <c r="L808" s="30"/>
      <c r="M808" s="30"/>
      <c r="N808" s="30"/>
      <c r="R808" s="240"/>
    </row>
    <row r="809">
      <c r="A809" s="30"/>
      <c r="B809" s="249"/>
      <c r="C809" s="249"/>
      <c r="D809" s="30"/>
      <c r="E809" s="30"/>
      <c r="F809" s="30"/>
      <c r="G809" s="30"/>
      <c r="H809" s="30"/>
      <c r="I809" s="30"/>
      <c r="J809" s="30"/>
      <c r="K809" s="30"/>
      <c r="L809" s="30"/>
      <c r="M809" s="30"/>
      <c r="N809" s="30"/>
      <c r="R809" s="240"/>
    </row>
    <row r="810">
      <c r="A810" s="30"/>
      <c r="B810" s="249"/>
      <c r="C810" s="249"/>
      <c r="D810" s="30"/>
      <c r="E810" s="30"/>
      <c r="F810" s="30"/>
      <c r="G810" s="30"/>
      <c r="H810" s="30"/>
      <c r="I810" s="30"/>
      <c r="J810" s="30"/>
      <c r="K810" s="30"/>
      <c r="L810" s="30"/>
      <c r="M810" s="30"/>
      <c r="N810" s="30"/>
      <c r="R810" s="240"/>
    </row>
    <row r="811">
      <c r="A811" s="30"/>
      <c r="B811" s="249"/>
      <c r="C811" s="249"/>
      <c r="D811" s="30"/>
      <c r="E811" s="30"/>
      <c r="F811" s="30"/>
      <c r="G811" s="30"/>
      <c r="H811" s="30"/>
      <c r="I811" s="30"/>
      <c r="J811" s="30"/>
      <c r="K811" s="30"/>
      <c r="L811" s="30"/>
      <c r="M811" s="30"/>
      <c r="N811" s="30"/>
      <c r="R811" s="240"/>
    </row>
    <row r="812">
      <c r="A812" s="30"/>
      <c r="B812" s="249"/>
      <c r="C812" s="249"/>
      <c r="D812" s="30"/>
      <c r="E812" s="30"/>
      <c r="F812" s="30"/>
      <c r="G812" s="30"/>
      <c r="H812" s="30"/>
      <c r="I812" s="30"/>
      <c r="J812" s="30"/>
      <c r="K812" s="30"/>
      <c r="L812" s="30"/>
      <c r="M812" s="30"/>
      <c r="N812" s="30"/>
      <c r="R812" s="240"/>
    </row>
    <row r="813">
      <c r="A813" s="30"/>
      <c r="B813" s="249"/>
      <c r="C813" s="249"/>
      <c r="D813" s="30"/>
      <c r="E813" s="30"/>
      <c r="F813" s="30"/>
      <c r="G813" s="30"/>
      <c r="H813" s="30"/>
      <c r="I813" s="30"/>
      <c r="J813" s="30"/>
      <c r="K813" s="30"/>
      <c r="L813" s="30"/>
      <c r="M813" s="30"/>
      <c r="N813" s="30"/>
      <c r="R813" s="240"/>
    </row>
    <row r="814">
      <c r="A814" s="30"/>
      <c r="B814" s="249"/>
      <c r="C814" s="249"/>
      <c r="D814" s="30"/>
      <c r="E814" s="30"/>
      <c r="F814" s="30"/>
      <c r="G814" s="30"/>
      <c r="H814" s="30"/>
      <c r="I814" s="30"/>
      <c r="J814" s="30"/>
      <c r="K814" s="30"/>
      <c r="L814" s="30"/>
      <c r="M814" s="30"/>
      <c r="N814" s="30"/>
      <c r="R814" s="240"/>
    </row>
    <row r="815">
      <c r="A815" s="30"/>
      <c r="B815" s="249"/>
      <c r="C815" s="249"/>
      <c r="D815" s="30"/>
      <c r="E815" s="30"/>
      <c r="F815" s="30"/>
      <c r="G815" s="30"/>
      <c r="H815" s="30"/>
      <c r="I815" s="30"/>
      <c r="J815" s="30"/>
      <c r="K815" s="30"/>
      <c r="L815" s="30"/>
      <c r="M815" s="30"/>
      <c r="N815" s="30"/>
      <c r="R815" s="240"/>
    </row>
    <row r="816">
      <c r="A816" s="30"/>
      <c r="B816" s="249"/>
      <c r="C816" s="249"/>
      <c r="D816" s="30"/>
      <c r="E816" s="30"/>
      <c r="F816" s="30"/>
      <c r="G816" s="30"/>
      <c r="H816" s="30"/>
      <c r="I816" s="30"/>
      <c r="J816" s="30"/>
      <c r="K816" s="30"/>
      <c r="L816" s="30"/>
      <c r="M816" s="30"/>
      <c r="N816" s="30"/>
      <c r="R816" s="240"/>
    </row>
    <row r="817">
      <c r="A817" s="30"/>
      <c r="B817" s="249"/>
      <c r="C817" s="249"/>
      <c r="D817" s="30"/>
      <c r="E817" s="30"/>
      <c r="F817" s="30"/>
      <c r="G817" s="30"/>
      <c r="H817" s="30"/>
      <c r="I817" s="30"/>
      <c r="J817" s="30"/>
      <c r="K817" s="30"/>
      <c r="L817" s="30"/>
      <c r="M817" s="30"/>
      <c r="N817" s="30"/>
      <c r="R817" s="240"/>
    </row>
    <row r="818">
      <c r="A818" s="30"/>
      <c r="B818" s="249"/>
      <c r="C818" s="249"/>
      <c r="D818" s="30"/>
      <c r="E818" s="30"/>
      <c r="F818" s="30"/>
      <c r="G818" s="30"/>
      <c r="H818" s="30"/>
      <c r="I818" s="30"/>
      <c r="J818" s="30"/>
      <c r="K818" s="30"/>
      <c r="L818" s="30"/>
      <c r="M818" s="30"/>
      <c r="N818" s="30"/>
      <c r="R818" s="240"/>
    </row>
    <row r="819">
      <c r="A819" s="30"/>
      <c r="B819" s="249"/>
      <c r="C819" s="249"/>
      <c r="D819" s="30"/>
      <c r="E819" s="30"/>
      <c r="F819" s="30"/>
      <c r="G819" s="30"/>
      <c r="H819" s="30"/>
      <c r="I819" s="30"/>
      <c r="J819" s="30"/>
      <c r="K819" s="30"/>
      <c r="L819" s="30"/>
      <c r="M819" s="30"/>
      <c r="N819" s="30"/>
      <c r="R819" s="240"/>
    </row>
    <row r="820">
      <c r="A820" s="30"/>
      <c r="B820" s="249"/>
      <c r="C820" s="249"/>
      <c r="D820" s="30"/>
      <c r="E820" s="30"/>
      <c r="F820" s="30"/>
      <c r="G820" s="30"/>
      <c r="H820" s="30"/>
      <c r="I820" s="30"/>
      <c r="J820" s="30"/>
      <c r="K820" s="30"/>
      <c r="L820" s="30"/>
      <c r="M820" s="30"/>
      <c r="N820" s="30"/>
      <c r="R820" s="240"/>
    </row>
    <row r="821">
      <c r="A821" s="30"/>
      <c r="B821" s="249"/>
      <c r="C821" s="249"/>
      <c r="D821" s="30"/>
      <c r="E821" s="30"/>
      <c r="F821" s="30"/>
      <c r="G821" s="30"/>
      <c r="H821" s="30"/>
      <c r="I821" s="30"/>
      <c r="J821" s="30"/>
      <c r="K821" s="30"/>
      <c r="L821" s="30"/>
      <c r="M821" s="30"/>
      <c r="N821" s="30"/>
      <c r="R821" s="240"/>
    </row>
    <row r="822">
      <c r="A822" s="30"/>
      <c r="B822" s="249"/>
      <c r="C822" s="249"/>
      <c r="D822" s="30"/>
      <c r="E822" s="30"/>
      <c r="F822" s="30"/>
      <c r="G822" s="30"/>
      <c r="H822" s="30"/>
      <c r="I822" s="30"/>
      <c r="J822" s="30"/>
      <c r="K822" s="30"/>
      <c r="L822" s="30"/>
      <c r="M822" s="30"/>
      <c r="N822" s="30"/>
      <c r="R822" s="240"/>
    </row>
    <row r="823">
      <c r="A823" s="30"/>
      <c r="B823" s="249"/>
      <c r="C823" s="249"/>
      <c r="D823" s="30"/>
      <c r="E823" s="30"/>
      <c r="F823" s="30"/>
      <c r="G823" s="30"/>
      <c r="H823" s="30"/>
      <c r="I823" s="30"/>
      <c r="J823" s="30"/>
      <c r="K823" s="30"/>
      <c r="L823" s="30"/>
      <c r="M823" s="30"/>
      <c r="N823" s="30"/>
      <c r="R823" s="240"/>
    </row>
    <row r="824">
      <c r="A824" s="30"/>
      <c r="B824" s="249"/>
      <c r="C824" s="249"/>
      <c r="D824" s="30"/>
      <c r="E824" s="30"/>
      <c r="F824" s="30"/>
      <c r="G824" s="30"/>
      <c r="H824" s="30"/>
      <c r="I824" s="30"/>
      <c r="J824" s="30"/>
      <c r="K824" s="30"/>
      <c r="L824" s="30"/>
      <c r="M824" s="30"/>
      <c r="N824" s="30"/>
      <c r="R824" s="240"/>
    </row>
    <row r="825">
      <c r="A825" s="30"/>
      <c r="B825" s="249"/>
      <c r="C825" s="249"/>
      <c r="D825" s="30"/>
      <c r="E825" s="30"/>
      <c r="F825" s="30"/>
      <c r="G825" s="30"/>
      <c r="H825" s="30"/>
      <c r="I825" s="30"/>
      <c r="J825" s="30"/>
      <c r="K825" s="30"/>
      <c r="L825" s="30"/>
      <c r="M825" s="30"/>
      <c r="N825" s="30"/>
      <c r="R825" s="240"/>
    </row>
    <row r="826">
      <c r="A826" s="30"/>
      <c r="B826" s="249"/>
      <c r="C826" s="249"/>
      <c r="D826" s="30"/>
      <c r="E826" s="30"/>
      <c r="F826" s="30"/>
      <c r="G826" s="30"/>
      <c r="H826" s="30"/>
      <c r="I826" s="30"/>
      <c r="J826" s="30"/>
      <c r="K826" s="30"/>
      <c r="L826" s="30"/>
      <c r="M826" s="30"/>
      <c r="N826" s="30"/>
      <c r="R826" s="240"/>
    </row>
    <row r="827">
      <c r="A827" s="30"/>
      <c r="B827" s="249"/>
      <c r="C827" s="249"/>
      <c r="D827" s="30"/>
      <c r="E827" s="30"/>
      <c r="F827" s="30"/>
      <c r="G827" s="30"/>
      <c r="H827" s="30"/>
      <c r="I827" s="30"/>
      <c r="J827" s="30"/>
      <c r="K827" s="30"/>
      <c r="L827" s="30"/>
      <c r="M827" s="30"/>
      <c r="N827" s="30"/>
      <c r="R827" s="240"/>
    </row>
    <row r="828">
      <c r="A828" s="30"/>
      <c r="B828" s="249"/>
      <c r="C828" s="249"/>
      <c r="D828" s="30"/>
      <c r="E828" s="30"/>
      <c r="F828" s="30"/>
      <c r="G828" s="30"/>
      <c r="H828" s="30"/>
      <c r="I828" s="30"/>
      <c r="J828" s="30"/>
      <c r="K828" s="30"/>
      <c r="L828" s="30"/>
      <c r="M828" s="30"/>
      <c r="N828" s="30"/>
      <c r="R828" s="240"/>
    </row>
    <row r="829">
      <c r="A829" s="30"/>
      <c r="B829" s="249"/>
      <c r="C829" s="249"/>
      <c r="D829" s="30"/>
      <c r="E829" s="30"/>
      <c r="F829" s="30"/>
      <c r="G829" s="30"/>
      <c r="H829" s="30"/>
      <c r="I829" s="30"/>
      <c r="J829" s="30"/>
      <c r="K829" s="30"/>
      <c r="L829" s="30"/>
      <c r="M829" s="30"/>
      <c r="N829" s="30"/>
      <c r="R829" s="240"/>
    </row>
    <row r="830">
      <c r="A830" s="30"/>
      <c r="B830" s="249"/>
      <c r="C830" s="249"/>
      <c r="D830" s="30"/>
      <c r="E830" s="30"/>
      <c r="F830" s="30"/>
      <c r="G830" s="30"/>
      <c r="H830" s="30"/>
      <c r="I830" s="30"/>
      <c r="J830" s="30"/>
      <c r="K830" s="30"/>
      <c r="L830" s="30"/>
      <c r="M830" s="30"/>
      <c r="N830" s="30"/>
      <c r="R830" s="240"/>
    </row>
    <row r="831">
      <c r="A831" s="30"/>
      <c r="B831" s="249"/>
      <c r="C831" s="249"/>
      <c r="D831" s="30"/>
      <c r="E831" s="30"/>
      <c r="F831" s="30"/>
      <c r="G831" s="30"/>
      <c r="H831" s="30"/>
      <c r="I831" s="30"/>
      <c r="J831" s="30"/>
      <c r="K831" s="30"/>
      <c r="L831" s="30"/>
      <c r="M831" s="30"/>
      <c r="N831" s="30"/>
      <c r="R831" s="240"/>
    </row>
    <row r="832">
      <c r="A832" s="30"/>
      <c r="B832" s="249"/>
      <c r="C832" s="249"/>
      <c r="D832" s="30"/>
      <c r="E832" s="30"/>
      <c r="F832" s="30"/>
      <c r="G832" s="30"/>
      <c r="H832" s="30"/>
      <c r="I832" s="30"/>
      <c r="J832" s="30"/>
      <c r="K832" s="30"/>
      <c r="L832" s="30"/>
      <c r="M832" s="30"/>
      <c r="N832" s="30"/>
      <c r="R832" s="240"/>
    </row>
    <row r="833">
      <c r="A833" s="30"/>
      <c r="B833" s="249"/>
      <c r="C833" s="249"/>
      <c r="D833" s="30"/>
      <c r="E833" s="30"/>
      <c r="F833" s="30"/>
      <c r="G833" s="30"/>
      <c r="H833" s="30"/>
      <c r="I833" s="30"/>
      <c r="J833" s="30"/>
      <c r="K833" s="30"/>
      <c r="L833" s="30"/>
      <c r="M833" s="30"/>
      <c r="N833" s="30"/>
      <c r="R833" s="240"/>
    </row>
    <row r="834">
      <c r="A834" s="30"/>
      <c r="B834" s="249"/>
      <c r="C834" s="249"/>
      <c r="D834" s="30"/>
      <c r="E834" s="30"/>
      <c r="F834" s="30"/>
      <c r="G834" s="30"/>
      <c r="H834" s="30"/>
      <c r="I834" s="30"/>
      <c r="J834" s="30"/>
      <c r="K834" s="30"/>
      <c r="L834" s="30"/>
      <c r="M834" s="30"/>
      <c r="N834" s="30"/>
      <c r="R834" s="240"/>
    </row>
    <row r="835">
      <c r="A835" s="30"/>
      <c r="B835" s="249"/>
      <c r="C835" s="249"/>
      <c r="D835" s="30"/>
      <c r="E835" s="30"/>
      <c r="F835" s="30"/>
      <c r="G835" s="30"/>
      <c r="H835" s="30"/>
      <c r="I835" s="30"/>
      <c r="J835" s="30"/>
      <c r="K835" s="30"/>
      <c r="L835" s="30"/>
      <c r="M835" s="30"/>
      <c r="N835" s="30"/>
      <c r="R835" s="240"/>
    </row>
    <row r="836">
      <c r="A836" s="30"/>
      <c r="B836" s="249"/>
      <c r="C836" s="249"/>
      <c r="D836" s="30"/>
      <c r="E836" s="30"/>
      <c r="F836" s="30"/>
      <c r="G836" s="30"/>
      <c r="H836" s="30"/>
      <c r="I836" s="30"/>
      <c r="J836" s="30"/>
      <c r="K836" s="30"/>
      <c r="L836" s="30"/>
      <c r="M836" s="30"/>
      <c r="N836" s="30"/>
      <c r="R836" s="240"/>
    </row>
    <row r="837">
      <c r="A837" s="30"/>
      <c r="B837" s="249"/>
      <c r="C837" s="249"/>
      <c r="D837" s="30"/>
      <c r="E837" s="30"/>
      <c r="F837" s="30"/>
      <c r="G837" s="30"/>
      <c r="H837" s="30"/>
      <c r="I837" s="30"/>
      <c r="J837" s="30"/>
      <c r="K837" s="30"/>
      <c r="L837" s="30"/>
      <c r="M837" s="30"/>
      <c r="N837" s="30"/>
      <c r="R837" s="240"/>
    </row>
    <row r="838">
      <c r="A838" s="30"/>
      <c r="B838" s="249"/>
      <c r="C838" s="249"/>
      <c r="D838" s="30"/>
      <c r="E838" s="30"/>
      <c r="F838" s="30"/>
      <c r="G838" s="30"/>
      <c r="H838" s="30"/>
      <c r="I838" s="30"/>
      <c r="J838" s="30"/>
      <c r="K838" s="30"/>
      <c r="L838" s="30"/>
      <c r="M838" s="30"/>
      <c r="N838" s="30"/>
      <c r="R838" s="240"/>
    </row>
    <row r="839">
      <c r="A839" s="30"/>
      <c r="B839" s="249"/>
      <c r="C839" s="249"/>
      <c r="D839" s="30"/>
      <c r="E839" s="30"/>
      <c r="F839" s="30"/>
      <c r="G839" s="30"/>
      <c r="H839" s="30"/>
      <c r="I839" s="30"/>
      <c r="J839" s="30"/>
      <c r="K839" s="30"/>
      <c r="L839" s="30"/>
      <c r="M839" s="30"/>
      <c r="N839" s="30"/>
      <c r="R839" s="240"/>
    </row>
    <row r="840">
      <c r="A840" s="30"/>
      <c r="B840" s="249"/>
      <c r="C840" s="249"/>
      <c r="D840" s="30"/>
      <c r="E840" s="30"/>
      <c r="F840" s="30"/>
      <c r="G840" s="30"/>
      <c r="H840" s="30"/>
      <c r="I840" s="30"/>
      <c r="J840" s="30"/>
      <c r="K840" s="30"/>
      <c r="L840" s="30"/>
      <c r="M840" s="30"/>
      <c r="N840" s="30"/>
      <c r="R840" s="240"/>
    </row>
    <row r="841">
      <c r="A841" s="30"/>
      <c r="B841" s="249"/>
      <c r="C841" s="249"/>
      <c r="D841" s="30"/>
      <c r="E841" s="30"/>
      <c r="F841" s="30"/>
      <c r="G841" s="30"/>
      <c r="H841" s="30"/>
      <c r="I841" s="30"/>
      <c r="J841" s="30"/>
      <c r="K841" s="30"/>
      <c r="L841" s="30"/>
      <c r="M841" s="30"/>
      <c r="N841" s="30"/>
      <c r="R841" s="240"/>
    </row>
    <row r="842">
      <c r="A842" s="30"/>
      <c r="B842" s="249"/>
      <c r="C842" s="249"/>
      <c r="D842" s="30"/>
      <c r="E842" s="30"/>
      <c r="F842" s="30"/>
      <c r="G842" s="30"/>
      <c r="H842" s="30"/>
      <c r="I842" s="30"/>
      <c r="J842" s="30"/>
      <c r="K842" s="30"/>
      <c r="L842" s="30"/>
      <c r="M842" s="30"/>
      <c r="N842" s="30"/>
      <c r="R842" s="240"/>
    </row>
    <row r="843">
      <c r="A843" s="30"/>
      <c r="B843" s="249"/>
      <c r="C843" s="249"/>
      <c r="D843" s="30"/>
      <c r="E843" s="30"/>
      <c r="F843" s="30"/>
      <c r="G843" s="30"/>
      <c r="H843" s="30"/>
      <c r="I843" s="30"/>
      <c r="J843" s="30"/>
      <c r="K843" s="30"/>
      <c r="L843" s="30"/>
      <c r="M843" s="30"/>
      <c r="N843" s="30"/>
      <c r="R843" s="240"/>
    </row>
    <row r="844">
      <c r="A844" s="30"/>
      <c r="B844" s="249"/>
      <c r="C844" s="249"/>
      <c r="D844" s="30"/>
      <c r="E844" s="30"/>
      <c r="F844" s="30"/>
      <c r="G844" s="30"/>
      <c r="H844" s="30"/>
      <c r="I844" s="30"/>
      <c r="J844" s="30"/>
      <c r="K844" s="30"/>
      <c r="L844" s="30"/>
      <c r="M844" s="30"/>
      <c r="N844" s="30"/>
      <c r="R844" s="240"/>
    </row>
    <row r="845">
      <c r="A845" s="30"/>
      <c r="B845" s="249"/>
      <c r="C845" s="249"/>
      <c r="D845" s="30"/>
      <c r="E845" s="30"/>
      <c r="F845" s="30"/>
      <c r="G845" s="30"/>
      <c r="H845" s="30"/>
      <c r="I845" s="30"/>
      <c r="J845" s="30"/>
      <c r="K845" s="30"/>
      <c r="L845" s="30"/>
      <c r="M845" s="30"/>
      <c r="N845" s="30"/>
      <c r="R845" s="240"/>
    </row>
    <row r="846">
      <c r="A846" s="30"/>
      <c r="B846" s="249"/>
      <c r="C846" s="249"/>
      <c r="D846" s="30"/>
      <c r="E846" s="30"/>
      <c r="F846" s="30"/>
      <c r="G846" s="30"/>
      <c r="H846" s="30"/>
      <c r="I846" s="30"/>
      <c r="J846" s="30"/>
      <c r="K846" s="30"/>
      <c r="L846" s="30"/>
      <c r="M846" s="30"/>
      <c r="N846" s="30"/>
      <c r="R846" s="240"/>
    </row>
    <row r="847">
      <c r="A847" s="30"/>
      <c r="B847" s="249"/>
      <c r="C847" s="249"/>
      <c r="D847" s="30"/>
      <c r="E847" s="30"/>
      <c r="F847" s="30"/>
      <c r="G847" s="30"/>
      <c r="H847" s="30"/>
      <c r="I847" s="30"/>
      <c r="J847" s="30"/>
      <c r="K847" s="30"/>
      <c r="L847" s="30"/>
      <c r="M847" s="30"/>
      <c r="N847" s="30"/>
      <c r="R847" s="240"/>
    </row>
    <row r="848">
      <c r="A848" s="30"/>
      <c r="B848" s="249"/>
      <c r="C848" s="249"/>
      <c r="D848" s="30"/>
      <c r="E848" s="30"/>
      <c r="F848" s="30"/>
      <c r="G848" s="30"/>
      <c r="H848" s="30"/>
      <c r="I848" s="30"/>
      <c r="J848" s="30"/>
      <c r="K848" s="30"/>
      <c r="L848" s="30"/>
      <c r="M848" s="30"/>
      <c r="N848" s="30"/>
      <c r="R848" s="240"/>
    </row>
    <row r="849">
      <c r="A849" s="30"/>
      <c r="B849" s="249"/>
      <c r="C849" s="249"/>
      <c r="D849" s="30"/>
      <c r="E849" s="30"/>
      <c r="F849" s="30"/>
      <c r="G849" s="30"/>
      <c r="H849" s="30"/>
      <c r="I849" s="30"/>
      <c r="J849" s="30"/>
      <c r="K849" s="30"/>
      <c r="L849" s="30"/>
      <c r="M849" s="30"/>
      <c r="N849" s="30"/>
      <c r="R849" s="240"/>
    </row>
    <row r="850">
      <c r="A850" s="30"/>
      <c r="B850" s="249"/>
      <c r="C850" s="249"/>
      <c r="D850" s="30"/>
      <c r="E850" s="30"/>
      <c r="F850" s="30"/>
      <c r="G850" s="30"/>
      <c r="H850" s="30"/>
      <c r="I850" s="30"/>
      <c r="J850" s="30"/>
      <c r="K850" s="30"/>
      <c r="L850" s="30"/>
      <c r="M850" s="30"/>
      <c r="N850" s="30"/>
      <c r="R850" s="240"/>
    </row>
    <row r="851">
      <c r="A851" s="30"/>
      <c r="B851" s="249"/>
      <c r="C851" s="249"/>
      <c r="D851" s="30"/>
      <c r="E851" s="30"/>
      <c r="F851" s="30"/>
      <c r="G851" s="30"/>
      <c r="H851" s="30"/>
      <c r="I851" s="30"/>
      <c r="J851" s="30"/>
      <c r="K851" s="30"/>
      <c r="L851" s="30"/>
      <c r="M851" s="30"/>
      <c r="N851" s="30"/>
      <c r="R851" s="240"/>
    </row>
    <row r="852">
      <c r="A852" s="30"/>
      <c r="B852" s="249"/>
      <c r="C852" s="249"/>
      <c r="D852" s="30"/>
      <c r="E852" s="30"/>
      <c r="F852" s="30"/>
      <c r="G852" s="30"/>
      <c r="H852" s="30"/>
      <c r="I852" s="30"/>
      <c r="J852" s="30"/>
      <c r="K852" s="30"/>
      <c r="L852" s="30"/>
      <c r="M852" s="30"/>
      <c r="N852" s="30"/>
      <c r="R852" s="240"/>
    </row>
    <row r="853">
      <c r="A853" s="30"/>
      <c r="B853" s="249"/>
      <c r="C853" s="249"/>
      <c r="D853" s="30"/>
      <c r="E853" s="30"/>
      <c r="F853" s="30"/>
      <c r="G853" s="30"/>
      <c r="H853" s="30"/>
      <c r="I853" s="30"/>
      <c r="J853" s="30"/>
      <c r="K853" s="30"/>
      <c r="L853" s="30"/>
      <c r="M853" s="30"/>
      <c r="N853" s="30"/>
      <c r="R853" s="240"/>
    </row>
    <row r="854">
      <c r="A854" s="30"/>
      <c r="B854" s="249"/>
      <c r="C854" s="249"/>
      <c r="D854" s="30"/>
      <c r="E854" s="30"/>
      <c r="F854" s="30"/>
      <c r="G854" s="30"/>
      <c r="H854" s="30"/>
      <c r="I854" s="30"/>
      <c r="J854" s="30"/>
      <c r="K854" s="30"/>
      <c r="L854" s="30"/>
      <c r="M854" s="30"/>
      <c r="N854" s="30"/>
      <c r="R854" s="240"/>
    </row>
    <row r="855">
      <c r="A855" s="30"/>
      <c r="B855" s="249"/>
      <c r="C855" s="249"/>
      <c r="D855" s="30"/>
      <c r="E855" s="30"/>
      <c r="F855" s="30"/>
      <c r="G855" s="30"/>
      <c r="H855" s="30"/>
      <c r="I855" s="30"/>
      <c r="J855" s="30"/>
      <c r="K855" s="30"/>
      <c r="L855" s="30"/>
      <c r="M855" s="30"/>
      <c r="N855" s="30"/>
      <c r="R855" s="240"/>
    </row>
    <row r="856">
      <c r="A856" s="30"/>
      <c r="B856" s="249"/>
      <c r="C856" s="249"/>
      <c r="D856" s="30"/>
      <c r="E856" s="30"/>
      <c r="F856" s="30"/>
      <c r="G856" s="30"/>
      <c r="H856" s="30"/>
      <c r="I856" s="30"/>
      <c r="J856" s="30"/>
      <c r="K856" s="30"/>
      <c r="L856" s="30"/>
      <c r="M856" s="30"/>
      <c r="N856" s="30"/>
      <c r="R856" s="240"/>
    </row>
    <row r="857">
      <c r="A857" s="30"/>
      <c r="B857" s="249"/>
      <c r="C857" s="249"/>
      <c r="D857" s="30"/>
      <c r="E857" s="30"/>
      <c r="F857" s="30"/>
      <c r="G857" s="30"/>
      <c r="H857" s="30"/>
      <c r="I857" s="30"/>
      <c r="J857" s="30"/>
      <c r="K857" s="30"/>
      <c r="L857" s="30"/>
      <c r="M857" s="30"/>
      <c r="N857" s="30"/>
      <c r="R857" s="240"/>
    </row>
    <row r="858">
      <c r="A858" s="30"/>
      <c r="B858" s="249"/>
      <c r="C858" s="249"/>
      <c r="D858" s="30"/>
      <c r="E858" s="30"/>
      <c r="F858" s="30"/>
      <c r="G858" s="30"/>
      <c r="H858" s="30"/>
      <c r="I858" s="30"/>
      <c r="J858" s="30"/>
      <c r="K858" s="30"/>
      <c r="L858" s="30"/>
      <c r="M858" s="30"/>
      <c r="N858" s="30"/>
      <c r="R858" s="240"/>
    </row>
    <row r="859">
      <c r="A859" s="30"/>
      <c r="B859" s="249"/>
      <c r="C859" s="249"/>
      <c r="D859" s="30"/>
      <c r="E859" s="30"/>
      <c r="F859" s="30"/>
      <c r="G859" s="30"/>
      <c r="H859" s="30"/>
      <c r="I859" s="30"/>
      <c r="J859" s="30"/>
      <c r="K859" s="30"/>
      <c r="L859" s="30"/>
      <c r="M859" s="30"/>
      <c r="N859" s="30"/>
      <c r="R859" s="240"/>
    </row>
    <row r="860">
      <c r="A860" s="30"/>
      <c r="B860" s="249"/>
      <c r="C860" s="249"/>
      <c r="D860" s="30"/>
      <c r="E860" s="30"/>
      <c r="F860" s="30"/>
      <c r="G860" s="30"/>
      <c r="H860" s="30"/>
      <c r="I860" s="30"/>
      <c r="J860" s="30"/>
      <c r="K860" s="30"/>
      <c r="L860" s="30"/>
      <c r="M860" s="30"/>
      <c r="N860" s="30"/>
      <c r="R860" s="240"/>
    </row>
    <row r="861">
      <c r="A861" s="30"/>
      <c r="B861" s="249"/>
      <c r="C861" s="249"/>
      <c r="D861" s="30"/>
      <c r="E861" s="30"/>
      <c r="F861" s="30"/>
      <c r="G861" s="30"/>
      <c r="H861" s="30"/>
      <c r="I861" s="30"/>
      <c r="J861" s="30"/>
      <c r="K861" s="30"/>
      <c r="L861" s="30"/>
      <c r="M861" s="30"/>
      <c r="N861" s="30"/>
      <c r="R861" s="240"/>
    </row>
    <row r="862">
      <c r="A862" s="30"/>
      <c r="B862" s="249"/>
      <c r="C862" s="249"/>
      <c r="D862" s="30"/>
      <c r="E862" s="30"/>
      <c r="F862" s="30"/>
      <c r="G862" s="30"/>
      <c r="H862" s="30"/>
      <c r="I862" s="30"/>
      <c r="J862" s="30"/>
      <c r="K862" s="30"/>
      <c r="L862" s="30"/>
      <c r="M862" s="30"/>
      <c r="N862" s="30"/>
      <c r="R862" s="240"/>
    </row>
    <row r="863">
      <c r="A863" s="30"/>
      <c r="B863" s="249"/>
      <c r="C863" s="249"/>
      <c r="D863" s="30"/>
      <c r="E863" s="30"/>
      <c r="F863" s="30"/>
      <c r="G863" s="30"/>
      <c r="H863" s="30"/>
      <c r="I863" s="30"/>
      <c r="J863" s="30"/>
      <c r="K863" s="30"/>
      <c r="L863" s="30"/>
      <c r="M863" s="30"/>
      <c r="N863" s="30"/>
      <c r="R863" s="240"/>
    </row>
    <row r="864">
      <c r="A864" s="30"/>
      <c r="B864" s="249"/>
      <c r="C864" s="249"/>
      <c r="D864" s="30"/>
      <c r="E864" s="30"/>
      <c r="F864" s="30"/>
      <c r="G864" s="30"/>
      <c r="H864" s="30"/>
      <c r="I864" s="30"/>
      <c r="J864" s="30"/>
      <c r="K864" s="30"/>
      <c r="L864" s="30"/>
      <c r="M864" s="30"/>
      <c r="N864" s="30"/>
      <c r="R864" s="240"/>
    </row>
    <row r="865">
      <c r="A865" s="30"/>
      <c r="B865" s="249"/>
      <c r="C865" s="249"/>
      <c r="D865" s="30"/>
      <c r="E865" s="30"/>
      <c r="F865" s="30"/>
      <c r="G865" s="30"/>
      <c r="H865" s="30"/>
      <c r="I865" s="30"/>
      <c r="J865" s="30"/>
      <c r="K865" s="30"/>
      <c r="L865" s="30"/>
      <c r="M865" s="30"/>
      <c r="N865" s="30"/>
      <c r="R865" s="240"/>
    </row>
    <row r="866">
      <c r="A866" s="30"/>
      <c r="B866" s="249"/>
      <c r="C866" s="249"/>
      <c r="D866" s="30"/>
      <c r="E866" s="30"/>
      <c r="F866" s="30"/>
      <c r="G866" s="30"/>
      <c r="H866" s="30"/>
      <c r="I866" s="30"/>
      <c r="J866" s="30"/>
      <c r="K866" s="30"/>
      <c r="L866" s="30"/>
      <c r="M866" s="30"/>
      <c r="N866" s="30"/>
      <c r="R866" s="240"/>
    </row>
    <row r="867">
      <c r="A867" s="30"/>
      <c r="B867" s="249"/>
      <c r="C867" s="249"/>
      <c r="D867" s="30"/>
      <c r="E867" s="30"/>
      <c r="F867" s="30"/>
      <c r="G867" s="30"/>
      <c r="H867" s="30"/>
      <c r="I867" s="30"/>
      <c r="J867" s="30"/>
      <c r="K867" s="30"/>
      <c r="L867" s="30"/>
      <c r="M867" s="30"/>
      <c r="N867" s="30"/>
      <c r="R867" s="240"/>
    </row>
    <row r="868">
      <c r="A868" s="30"/>
      <c r="B868" s="249"/>
      <c r="C868" s="249"/>
      <c r="D868" s="30"/>
      <c r="E868" s="30"/>
      <c r="F868" s="30"/>
      <c r="G868" s="30"/>
      <c r="H868" s="30"/>
      <c r="I868" s="30"/>
      <c r="J868" s="30"/>
      <c r="K868" s="30"/>
      <c r="L868" s="30"/>
      <c r="M868" s="30"/>
      <c r="N868" s="30"/>
      <c r="R868" s="240"/>
    </row>
    <row r="869">
      <c r="A869" s="30"/>
      <c r="B869" s="249"/>
      <c r="C869" s="249"/>
      <c r="D869" s="30"/>
      <c r="E869" s="30"/>
      <c r="F869" s="30"/>
      <c r="G869" s="30"/>
      <c r="H869" s="30"/>
      <c r="I869" s="30"/>
      <c r="J869" s="30"/>
      <c r="K869" s="30"/>
      <c r="L869" s="30"/>
      <c r="M869" s="30"/>
      <c r="N869" s="30"/>
      <c r="R869" s="240"/>
    </row>
    <row r="870">
      <c r="A870" s="30"/>
      <c r="B870" s="249"/>
      <c r="C870" s="249"/>
      <c r="D870" s="30"/>
      <c r="E870" s="30"/>
      <c r="F870" s="30"/>
      <c r="G870" s="30"/>
      <c r="H870" s="30"/>
      <c r="I870" s="30"/>
      <c r="J870" s="30"/>
      <c r="K870" s="30"/>
      <c r="L870" s="30"/>
      <c r="M870" s="30"/>
      <c r="N870" s="30"/>
      <c r="R870" s="240"/>
    </row>
    <row r="871">
      <c r="A871" s="30"/>
      <c r="B871" s="249"/>
      <c r="C871" s="249"/>
      <c r="D871" s="30"/>
      <c r="E871" s="30"/>
      <c r="F871" s="30"/>
      <c r="G871" s="30"/>
      <c r="H871" s="30"/>
      <c r="I871" s="30"/>
      <c r="J871" s="30"/>
      <c r="K871" s="30"/>
      <c r="L871" s="30"/>
      <c r="M871" s="30"/>
      <c r="N871" s="30"/>
      <c r="R871" s="240"/>
    </row>
    <row r="872">
      <c r="A872" s="30"/>
      <c r="B872" s="249"/>
      <c r="C872" s="249"/>
      <c r="D872" s="30"/>
      <c r="E872" s="30"/>
      <c r="F872" s="30"/>
      <c r="G872" s="30"/>
      <c r="H872" s="30"/>
      <c r="I872" s="30"/>
      <c r="J872" s="30"/>
      <c r="K872" s="30"/>
      <c r="L872" s="30"/>
      <c r="M872" s="30"/>
      <c r="N872" s="30"/>
      <c r="R872" s="240"/>
    </row>
    <row r="873">
      <c r="A873" s="30"/>
      <c r="B873" s="249"/>
      <c r="C873" s="249"/>
      <c r="D873" s="30"/>
      <c r="E873" s="30"/>
      <c r="F873" s="30"/>
      <c r="G873" s="30"/>
      <c r="H873" s="30"/>
      <c r="I873" s="30"/>
      <c r="J873" s="30"/>
      <c r="K873" s="30"/>
      <c r="L873" s="30"/>
      <c r="M873" s="30"/>
      <c r="N873" s="30"/>
      <c r="R873" s="240"/>
    </row>
    <row r="874">
      <c r="A874" s="30"/>
      <c r="B874" s="249"/>
      <c r="C874" s="249"/>
      <c r="D874" s="30"/>
      <c r="E874" s="30"/>
      <c r="F874" s="30"/>
      <c r="G874" s="30"/>
      <c r="H874" s="30"/>
      <c r="I874" s="30"/>
      <c r="J874" s="30"/>
      <c r="K874" s="30"/>
      <c r="L874" s="30"/>
      <c r="M874" s="30"/>
      <c r="N874" s="30"/>
      <c r="R874" s="240"/>
    </row>
    <row r="875">
      <c r="A875" s="30"/>
      <c r="B875" s="249"/>
      <c r="C875" s="249"/>
      <c r="D875" s="30"/>
      <c r="E875" s="30"/>
      <c r="F875" s="30"/>
      <c r="G875" s="30"/>
      <c r="H875" s="30"/>
      <c r="I875" s="30"/>
      <c r="J875" s="30"/>
      <c r="K875" s="30"/>
      <c r="L875" s="30"/>
      <c r="M875" s="30"/>
      <c r="N875" s="30"/>
      <c r="R875" s="240"/>
    </row>
    <row r="876">
      <c r="A876" s="30"/>
      <c r="B876" s="249"/>
      <c r="C876" s="249"/>
      <c r="D876" s="30"/>
      <c r="E876" s="30"/>
      <c r="F876" s="30"/>
      <c r="G876" s="30"/>
      <c r="H876" s="30"/>
      <c r="I876" s="30"/>
      <c r="J876" s="30"/>
      <c r="K876" s="30"/>
      <c r="L876" s="30"/>
      <c r="M876" s="30"/>
      <c r="N876" s="30"/>
      <c r="R876" s="240"/>
    </row>
    <row r="877">
      <c r="A877" s="30"/>
      <c r="B877" s="249"/>
      <c r="C877" s="249"/>
      <c r="D877" s="30"/>
      <c r="E877" s="30"/>
      <c r="F877" s="30"/>
      <c r="G877" s="30"/>
      <c r="H877" s="30"/>
      <c r="I877" s="30"/>
      <c r="J877" s="30"/>
      <c r="K877" s="30"/>
      <c r="L877" s="30"/>
      <c r="M877" s="30"/>
      <c r="N877" s="30"/>
      <c r="R877" s="240"/>
    </row>
    <row r="878">
      <c r="A878" s="30"/>
      <c r="B878" s="249"/>
      <c r="C878" s="249"/>
      <c r="D878" s="30"/>
      <c r="E878" s="30"/>
      <c r="F878" s="30"/>
      <c r="G878" s="30"/>
      <c r="H878" s="30"/>
      <c r="I878" s="30"/>
      <c r="J878" s="30"/>
      <c r="K878" s="30"/>
      <c r="L878" s="30"/>
      <c r="M878" s="30"/>
      <c r="N878" s="30"/>
      <c r="R878" s="240"/>
    </row>
    <row r="879">
      <c r="A879" s="30"/>
      <c r="B879" s="249"/>
      <c r="C879" s="249"/>
      <c r="D879" s="30"/>
      <c r="E879" s="30"/>
      <c r="F879" s="30"/>
      <c r="G879" s="30"/>
      <c r="H879" s="30"/>
      <c r="I879" s="30"/>
      <c r="J879" s="30"/>
      <c r="K879" s="30"/>
      <c r="L879" s="30"/>
      <c r="M879" s="30"/>
      <c r="N879" s="30"/>
      <c r="R879" s="240"/>
    </row>
    <row r="880">
      <c r="A880" s="30"/>
      <c r="B880" s="249"/>
      <c r="C880" s="249"/>
      <c r="D880" s="30"/>
      <c r="E880" s="30"/>
      <c r="F880" s="30"/>
      <c r="G880" s="30"/>
      <c r="H880" s="30"/>
      <c r="I880" s="30"/>
      <c r="J880" s="30"/>
      <c r="K880" s="30"/>
      <c r="L880" s="30"/>
      <c r="M880" s="30"/>
      <c r="N880" s="30"/>
      <c r="R880" s="240"/>
    </row>
    <row r="881">
      <c r="A881" s="30"/>
      <c r="B881" s="249"/>
      <c r="C881" s="249"/>
      <c r="D881" s="30"/>
      <c r="E881" s="30"/>
      <c r="F881" s="30"/>
      <c r="G881" s="30"/>
      <c r="H881" s="30"/>
      <c r="I881" s="30"/>
      <c r="J881" s="30"/>
      <c r="K881" s="30"/>
      <c r="L881" s="30"/>
      <c r="M881" s="30"/>
      <c r="N881" s="30"/>
      <c r="R881" s="240"/>
    </row>
    <row r="882">
      <c r="A882" s="30"/>
      <c r="B882" s="249"/>
      <c r="C882" s="249"/>
      <c r="D882" s="30"/>
      <c r="E882" s="30"/>
      <c r="F882" s="30"/>
      <c r="G882" s="30"/>
      <c r="H882" s="30"/>
      <c r="I882" s="30"/>
      <c r="J882" s="30"/>
      <c r="K882" s="30"/>
      <c r="L882" s="30"/>
      <c r="M882" s="30"/>
      <c r="N882" s="30"/>
      <c r="R882" s="240"/>
    </row>
    <row r="883">
      <c r="A883" s="30"/>
      <c r="B883" s="249"/>
      <c r="C883" s="249"/>
      <c r="D883" s="30"/>
      <c r="E883" s="30"/>
      <c r="F883" s="30"/>
      <c r="G883" s="30"/>
      <c r="H883" s="30"/>
      <c r="I883" s="30"/>
      <c r="J883" s="30"/>
      <c r="K883" s="30"/>
      <c r="L883" s="30"/>
      <c r="M883" s="30"/>
      <c r="N883" s="30"/>
      <c r="R883" s="240"/>
    </row>
    <row r="884">
      <c r="A884" s="30"/>
      <c r="B884" s="249"/>
      <c r="C884" s="249"/>
      <c r="D884" s="30"/>
      <c r="E884" s="30"/>
      <c r="F884" s="30"/>
      <c r="G884" s="30"/>
      <c r="H884" s="30"/>
      <c r="I884" s="30"/>
      <c r="J884" s="30"/>
      <c r="K884" s="30"/>
      <c r="L884" s="30"/>
      <c r="M884" s="30"/>
      <c r="N884" s="30"/>
      <c r="R884" s="240"/>
    </row>
    <row r="885">
      <c r="A885" s="30"/>
      <c r="B885" s="249"/>
      <c r="C885" s="249"/>
      <c r="D885" s="30"/>
      <c r="E885" s="30"/>
      <c r="F885" s="30"/>
      <c r="G885" s="30"/>
      <c r="H885" s="30"/>
      <c r="I885" s="30"/>
      <c r="J885" s="30"/>
      <c r="K885" s="30"/>
      <c r="L885" s="30"/>
      <c r="M885" s="30"/>
      <c r="N885" s="30"/>
      <c r="R885" s="240"/>
    </row>
    <row r="886">
      <c r="A886" s="30"/>
      <c r="B886" s="249"/>
      <c r="C886" s="249"/>
      <c r="D886" s="30"/>
      <c r="E886" s="30"/>
      <c r="F886" s="30"/>
      <c r="G886" s="30"/>
      <c r="H886" s="30"/>
      <c r="I886" s="30"/>
      <c r="J886" s="30"/>
      <c r="K886" s="30"/>
      <c r="L886" s="30"/>
      <c r="M886" s="30"/>
      <c r="N886" s="30"/>
      <c r="R886" s="240"/>
    </row>
    <row r="887">
      <c r="A887" s="30"/>
      <c r="B887" s="249"/>
      <c r="C887" s="249"/>
      <c r="D887" s="30"/>
      <c r="E887" s="30"/>
      <c r="F887" s="30"/>
      <c r="G887" s="30"/>
      <c r="H887" s="30"/>
      <c r="I887" s="30"/>
      <c r="J887" s="30"/>
      <c r="K887" s="30"/>
      <c r="L887" s="30"/>
      <c r="M887" s="30"/>
      <c r="N887" s="30"/>
      <c r="R887" s="240"/>
    </row>
    <row r="888">
      <c r="A888" s="30"/>
      <c r="B888" s="249"/>
      <c r="C888" s="249"/>
      <c r="D888" s="30"/>
      <c r="E888" s="30"/>
      <c r="F888" s="30"/>
      <c r="G888" s="30"/>
      <c r="H888" s="30"/>
      <c r="I888" s="30"/>
      <c r="J888" s="30"/>
      <c r="K888" s="30"/>
      <c r="L888" s="30"/>
      <c r="M888" s="30"/>
      <c r="N888" s="30"/>
      <c r="R888" s="240"/>
    </row>
    <row r="889">
      <c r="A889" s="30"/>
      <c r="B889" s="249"/>
      <c r="C889" s="249"/>
      <c r="D889" s="30"/>
      <c r="E889" s="30"/>
      <c r="F889" s="30"/>
      <c r="G889" s="30"/>
      <c r="H889" s="30"/>
      <c r="I889" s="30"/>
      <c r="J889" s="30"/>
      <c r="K889" s="30"/>
      <c r="L889" s="30"/>
      <c r="M889" s="30"/>
      <c r="N889" s="30"/>
      <c r="R889" s="240"/>
    </row>
    <row r="890">
      <c r="A890" s="30"/>
      <c r="B890" s="249"/>
      <c r="C890" s="249"/>
      <c r="D890" s="30"/>
      <c r="E890" s="30"/>
      <c r="F890" s="30"/>
      <c r="G890" s="30"/>
      <c r="H890" s="30"/>
      <c r="I890" s="30"/>
      <c r="J890" s="30"/>
      <c r="K890" s="30"/>
      <c r="L890" s="30"/>
      <c r="M890" s="30"/>
      <c r="N890" s="30"/>
      <c r="R890" s="240"/>
    </row>
    <row r="891">
      <c r="A891" s="30"/>
      <c r="B891" s="249"/>
      <c r="C891" s="249"/>
      <c r="D891" s="30"/>
      <c r="E891" s="30"/>
      <c r="F891" s="30"/>
      <c r="G891" s="30"/>
      <c r="H891" s="30"/>
      <c r="I891" s="30"/>
      <c r="J891" s="30"/>
      <c r="K891" s="30"/>
      <c r="L891" s="30"/>
      <c r="M891" s="30"/>
      <c r="N891" s="30"/>
      <c r="R891" s="240"/>
    </row>
    <row r="892">
      <c r="A892" s="30"/>
      <c r="B892" s="249"/>
      <c r="C892" s="249"/>
      <c r="D892" s="30"/>
      <c r="E892" s="30"/>
      <c r="F892" s="30"/>
      <c r="G892" s="30"/>
      <c r="H892" s="30"/>
      <c r="I892" s="30"/>
      <c r="J892" s="30"/>
      <c r="K892" s="30"/>
      <c r="L892" s="30"/>
      <c r="M892" s="30"/>
      <c r="N892" s="30"/>
      <c r="R892" s="240"/>
    </row>
    <row r="893">
      <c r="A893" s="30"/>
      <c r="B893" s="249"/>
      <c r="C893" s="249"/>
      <c r="D893" s="30"/>
      <c r="E893" s="30"/>
      <c r="F893" s="30"/>
      <c r="G893" s="30"/>
      <c r="H893" s="30"/>
      <c r="I893" s="30"/>
      <c r="J893" s="30"/>
      <c r="K893" s="30"/>
      <c r="L893" s="30"/>
      <c r="M893" s="30"/>
      <c r="N893" s="30"/>
      <c r="R893" s="240"/>
    </row>
    <row r="894">
      <c r="A894" s="30"/>
      <c r="B894" s="249"/>
      <c r="C894" s="249"/>
      <c r="D894" s="30"/>
      <c r="E894" s="30"/>
      <c r="F894" s="30"/>
      <c r="G894" s="30"/>
      <c r="H894" s="30"/>
      <c r="I894" s="30"/>
      <c r="J894" s="30"/>
      <c r="K894" s="30"/>
      <c r="L894" s="30"/>
      <c r="M894" s="30"/>
      <c r="N894" s="30"/>
      <c r="R894" s="240"/>
    </row>
    <row r="895">
      <c r="A895" s="30"/>
      <c r="B895" s="249"/>
      <c r="C895" s="249"/>
      <c r="D895" s="30"/>
      <c r="E895" s="30"/>
      <c r="F895" s="30"/>
      <c r="G895" s="30"/>
      <c r="H895" s="30"/>
      <c r="I895" s="30"/>
      <c r="J895" s="30"/>
      <c r="K895" s="30"/>
      <c r="L895" s="30"/>
      <c r="M895" s="30"/>
      <c r="N895" s="30"/>
      <c r="R895" s="240"/>
    </row>
    <row r="896">
      <c r="A896" s="30"/>
      <c r="B896" s="249"/>
      <c r="C896" s="249"/>
      <c r="D896" s="30"/>
      <c r="E896" s="30"/>
      <c r="F896" s="30"/>
      <c r="G896" s="30"/>
      <c r="H896" s="30"/>
      <c r="I896" s="30"/>
      <c r="J896" s="30"/>
      <c r="K896" s="30"/>
      <c r="L896" s="30"/>
      <c r="M896" s="30"/>
      <c r="N896" s="30"/>
      <c r="R896" s="240"/>
    </row>
    <row r="897">
      <c r="A897" s="30"/>
      <c r="B897" s="249"/>
      <c r="C897" s="249"/>
      <c r="D897" s="30"/>
      <c r="E897" s="30"/>
      <c r="F897" s="30"/>
      <c r="G897" s="30"/>
      <c r="H897" s="30"/>
      <c r="I897" s="30"/>
      <c r="J897" s="30"/>
      <c r="K897" s="30"/>
      <c r="L897" s="30"/>
      <c r="M897" s="30"/>
      <c r="N897" s="30"/>
      <c r="R897" s="240"/>
    </row>
    <row r="898">
      <c r="A898" s="30"/>
      <c r="B898" s="249"/>
      <c r="C898" s="249"/>
      <c r="D898" s="30"/>
      <c r="E898" s="30"/>
      <c r="F898" s="30"/>
      <c r="G898" s="30"/>
      <c r="H898" s="30"/>
      <c r="I898" s="30"/>
      <c r="J898" s="30"/>
      <c r="K898" s="30"/>
      <c r="L898" s="30"/>
      <c r="M898" s="30"/>
      <c r="N898" s="30"/>
      <c r="R898" s="240"/>
    </row>
    <row r="899">
      <c r="A899" s="30"/>
      <c r="B899" s="249"/>
      <c r="C899" s="249"/>
      <c r="D899" s="30"/>
      <c r="E899" s="30"/>
      <c r="F899" s="30"/>
      <c r="G899" s="30"/>
      <c r="H899" s="30"/>
      <c r="I899" s="30"/>
      <c r="J899" s="30"/>
      <c r="K899" s="30"/>
      <c r="L899" s="30"/>
      <c r="M899" s="30"/>
      <c r="N899" s="30"/>
      <c r="R899" s="240"/>
    </row>
    <row r="900">
      <c r="A900" s="30"/>
      <c r="B900" s="249"/>
      <c r="C900" s="249"/>
      <c r="D900" s="30"/>
      <c r="E900" s="30"/>
      <c r="F900" s="30"/>
      <c r="G900" s="30"/>
      <c r="H900" s="30"/>
      <c r="I900" s="30"/>
      <c r="J900" s="30"/>
      <c r="K900" s="30"/>
      <c r="L900" s="30"/>
      <c r="M900" s="30"/>
      <c r="N900" s="30"/>
      <c r="R900" s="240"/>
    </row>
    <row r="901">
      <c r="A901" s="30"/>
      <c r="B901" s="249"/>
      <c r="C901" s="249"/>
      <c r="D901" s="30"/>
      <c r="E901" s="30"/>
      <c r="F901" s="30"/>
      <c r="G901" s="30"/>
      <c r="H901" s="30"/>
      <c r="I901" s="30"/>
      <c r="J901" s="30"/>
      <c r="K901" s="30"/>
      <c r="L901" s="30"/>
      <c r="M901" s="30"/>
      <c r="N901" s="30"/>
      <c r="R901" s="240"/>
    </row>
    <row r="902">
      <c r="A902" s="30"/>
      <c r="B902" s="249"/>
      <c r="C902" s="249"/>
      <c r="D902" s="30"/>
      <c r="E902" s="30"/>
      <c r="F902" s="30"/>
      <c r="G902" s="30"/>
      <c r="H902" s="30"/>
      <c r="I902" s="30"/>
      <c r="J902" s="30"/>
      <c r="K902" s="30"/>
      <c r="L902" s="30"/>
      <c r="M902" s="30"/>
      <c r="N902" s="30"/>
      <c r="R902" s="240"/>
    </row>
    <row r="903">
      <c r="A903" s="30"/>
      <c r="B903" s="249"/>
      <c r="C903" s="249"/>
      <c r="D903" s="30"/>
      <c r="E903" s="30"/>
      <c r="F903" s="30"/>
      <c r="G903" s="30"/>
      <c r="H903" s="30"/>
      <c r="I903" s="30"/>
      <c r="J903" s="30"/>
      <c r="K903" s="30"/>
      <c r="L903" s="30"/>
      <c r="M903" s="30"/>
      <c r="N903" s="30"/>
      <c r="R903" s="240"/>
    </row>
    <row r="904">
      <c r="A904" s="30"/>
      <c r="B904" s="249"/>
      <c r="C904" s="249"/>
      <c r="D904" s="30"/>
      <c r="E904" s="30"/>
      <c r="F904" s="30"/>
      <c r="G904" s="30"/>
      <c r="H904" s="30"/>
      <c r="I904" s="30"/>
      <c r="J904" s="30"/>
      <c r="K904" s="30"/>
      <c r="L904" s="30"/>
      <c r="M904" s="30"/>
      <c r="N904" s="30"/>
      <c r="R904" s="240"/>
    </row>
    <row r="905">
      <c r="A905" s="30"/>
      <c r="B905" s="249"/>
      <c r="C905" s="249"/>
      <c r="D905" s="30"/>
      <c r="E905" s="30"/>
      <c r="F905" s="30"/>
      <c r="G905" s="30"/>
      <c r="H905" s="30"/>
      <c r="I905" s="30"/>
      <c r="J905" s="30"/>
      <c r="K905" s="30"/>
      <c r="L905" s="30"/>
      <c r="M905" s="30"/>
      <c r="N905" s="30"/>
      <c r="R905" s="240"/>
    </row>
    <row r="906">
      <c r="A906" s="30"/>
      <c r="B906" s="249"/>
      <c r="C906" s="249"/>
      <c r="D906" s="30"/>
      <c r="E906" s="30"/>
      <c r="F906" s="30"/>
      <c r="G906" s="30"/>
      <c r="H906" s="30"/>
      <c r="I906" s="30"/>
      <c r="J906" s="30"/>
      <c r="K906" s="30"/>
      <c r="L906" s="30"/>
      <c r="M906" s="30"/>
      <c r="N906" s="30"/>
      <c r="R906" s="240"/>
    </row>
    <row r="907">
      <c r="A907" s="30"/>
      <c r="B907" s="249"/>
      <c r="C907" s="249"/>
      <c r="D907" s="30"/>
      <c r="E907" s="30"/>
      <c r="F907" s="30"/>
      <c r="G907" s="30"/>
      <c r="H907" s="30"/>
      <c r="I907" s="30"/>
      <c r="J907" s="30"/>
      <c r="K907" s="30"/>
      <c r="L907" s="30"/>
      <c r="M907" s="30"/>
      <c r="N907" s="30"/>
      <c r="R907" s="240"/>
    </row>
    <row r="908">
      <c r="A908" s="30"/>
      <c r="B908" s="249"/>
      <c r="C908" s="249"/>
      <c r="D908" s="30"/>
      <c r="E908" s="30"/>
      <c r="F908" s="30"/>
      <c r="G908" s="30"/>
      <c r="H908" s="30"/>
      <c r="I908" s="30"/>
      <c r="J908" s="30"/>
      <c r="K908" s="30"/>
      <c r="L908" s="30"/>
      <c r="M908" s="30"/>
      <c r="N908" s="30"/>
      <c r="R908" s="240"/>
    </row>
    <row r="909">
      <c r="A909" s="30"/>
      <c r="B909" s="249"/>
      <c r="C909" s="249"/>
      <c r="D909" s="30"/>
      <c r="E909" s="30"/>
      <c r="F909" s="30"/>
      <c r="G909" s="30"/>
      <c r="H909" s="30"/>
      <c r="I909" s="30"/>
      <c r="J909" s="30"/>
      <c r="K909" s="30"/>
      <c r="L909" s="30"/>
      <c r="M909" s="30"/>
      <c r="N909" s="30"/>
      <c r="R909" s="240"/>
    </row>
    <row r="910">
      <c r="A910" s="30"/>
      <c r="B910" s="249"/>
      <c r="C910" s="249"/>
      <c r="D910" s="30"/>
      <c r="E910" s="30"/>
      <c r="F910" s="30"/>
      <c r="G910" s="30"/>
      <c r="H910" s="30"/>
      <c r="I910" s="30"/>
      <c r="J910" s="30"/>
      <c r="K910" s="30"/>
      <c r="L910" s="30"/>
      <c r="M910" s="30"/>
      <c r="N910" s="30"/>
      <c r="R910" s="240"/>
    </row>
    <row r="911">
      <c r="A911" s="30"/>
      <c r="B911" s="249"/>
      <c r="C911" s="249"/>
      <c r="D911" s="30"/>
      <c r="E911" s="30"/>
      <c r="F911" s="30"/>
      <c r="G911" s="30"/>
      <c r="H911" s="30"/>
      <c r="I911" s="30"/>
      <c r="J911" s="30"/>
      <c r="K911" s="30"/>
      <c r="L911" s="30"/>
      <c r="M911" s="30"/>
      <c r="N911" s="30"/>
      <c r="R911" s="240"/>
    </row>
    <row r="912">
      <c r="A912" s="30"/>
      <c r="B912" s="249"/>
      <c r="C912" s="249"/>
      <c r="D912" s="30"/>
      <c r="E912" s="30"/>
      <c r="F912" s="30"/>
      <c r="G912" s="30"/>
      <c r="H912" s="30"/>
      <c r="I912" s="30"/>
      <c r="J912" s="30"/>
      <c r="K912" s="30"/>
      <c r="L912" s="30"/>
      <c r="M912" s="30"/>
      <c r="N912" s="30"/>
      <c r="R912" s="240"/>
    </row>
    <row r="913">
      <c r="A913" s="30"/>
      <c r="B913" s="249"/>
      <c r="C913" s="249"/>
      <c r="D913" s="30"/>
      <c r="E913" s="30"/>
      <c r="F913" s="30"/>
      <c r="G913" s="30"/>
      <c r="H913" s="30"/>
      <c r="I913" s="30"/>
      <c r="J913" s="30"/>
      <c r="K913" s="30"/>
      <c r="L913" s="30"/>
      <c r="M913" s="30"/>
      <c r="N913" s="30"/>
      <c r="R913" s="240"/>
    </row>
    <row r="914">
      <c r="A914" s="30"/>
      <c r="B914" s="249"/>
      <c r="C914" s="249"/>
      <c r="D914" s="30"/>
      <c r="E914" s="30"/>
      <c r="F914" s="30"/>
      <c r="G914" s="30"/>
      <c r="H914" s="30"/>
      <c r="I914" s="30"/>
      <c r="J914" s="30"/>
      <c r="K914" s="30"/>
      <c r="L914" s="30"/>
      <c r="M914" s="30"/>
      <c r="N914" s="30"/>
      <c r="R914" s="240"/>
    </row>
    <row r="915">
      <c r="A915" s="30"/>
      <c r="B915" s="249"/>
      <c r="C915" s="249"/>
      <c r="D915" s="30"/>
      <c r="E915" s="30"/>
      <c r="F915" s="30"/>
      <c r="G915" s="30"/>
      <c r="H915" s="30"/>
      <c r="I915" s="30"/>
      <c r="J915" s="30"/>
      <c r="K915" s="30"/>
      <c r="L915" s="30"/>
      <c r="M915" s="30"/>
      <c r="N915" s="30"/>
      <c r="R915" s="240"/>
    </row>
    <row r="916">
      <c r="A916" s="30"/>
      <c r="B916" s="249"/>
      <c r="C916" s="249"/>
      <c r="D916" s="30"/>
      <c r="E916" s="30"/>
      <c r="F916" s="30"/>
      <c r="G916" s="30"/>
      <c r="H916" s="30"/>
      <c r="I916" s="30"/>
      <c r="J916" s="30"/>
      <c r="K916" s="30"/>
      <c r="L916" s="30"/>
      <c r="M916" s="30"/>
      <c r="N916" s="30"/>
      <c r="R916" s="240"/>
    </row>
    <row r="917">
      <c r="A917" s="30"/>
      <c r="B917" s="249"/>
      <c r="C917" s="249"/>
      <c r="D917" s="30"/>
      <c r="E917" s="30"/>
      <c r="F917" s="30"/>
      <c r="G917" s="30"/>
      <c r="H917" s="30"/>
      <c r="I917" s="30"/>
      <c r="J917" s="30"/>
      <c r="K917" s="30"/>
      <c r="L917" s="30"/>
      <c r="M917" s="30"/>
      <c r="N917" s="30"/>
      <c r="R917" s="240"/>
    </row>
    <row r="918">
      <c r="A918" s="30"/>
      <c r="B918" s="249"/>
      <c r="C918" s="249"/>
      <c r="D918" s="30"/>
      <c r="E918" s="30"/>
      <c r="F918" s="30"/>
      <c r="G918" s="30"/>
      <c r="H918" s="30"/>
      <c r="I918" s="30"/>
      <c r="J918" s="30"/>
      <c r="K918" s="30"/>
      <c r="L918" s="30"/>
      <c r="M918" s="30"/>
      <c r="N918" s="30"/>
      <c r="R918" s="240"/>
    </row>
    <row r="919">
      <c r="A919" s="30"/>
      <c r="B919" s="249"/>
      <c r="C919" s="249"/>
      <c r="D919" s="30"/>
      <c r="E919" s="30"/>
      <c r="F919" s="30"/>
      <c r="G919" s="30"/>
      <c r="H919" s="30"/>
      <c r="I919" s="30"/>
      <c r="J919" s="30"/>
      <c r="K919" s="30"/>
      <c r="L919" s="30"/>
      <c r="M919" s="30"/>
      <c r="N919" s="30"/>
      <c r="R919" s="240"/>
    </row>
    <row r="920">
      <c r="A920" s="30"/>
      <c r="B920" s="249"/>
      <c r="C920" s="249"/>
      <c r="D920" s="30"/>
      <c r="E920" s="30"/>
      <c r="F920" s="30"/>
      <c r="G920" s="30"/>
      <c r="H920" s="30"/>
      <c r="I920" s="30"/>
      <c r="J920" s="30"/>
      <c r="K920" s="30"/>
      <c r="L920" s="30"/>
      <c r="M920" s="30"/>
      <c r="N920" s="30"/>
      <c r="R920" s="240"/>
    </row>
    <row r="921">
      <c r="A921" s="30"/>
      <c r="B921" s="249"/>
      <c r="C921" s="249"/>
      <c r="D921" s="30"/>
      <c r="E921" s="30"/>
      <c r="F921" s="30"/>
      <c r="G921" s="30"/>
      <c r="H921" s="30"/>
      <c r="I921" s="30"/>
      <c r="J921" s="30"/>
      <c r="K921" s="30"/>
      <c r="L921" s="30"/>
      <c r="M921" s="30"/>
      <c r="N921" s="30"/>
      <c r="R921" s="240"/>
    </row>
    <row r="922">
      <c r="A922" s="30"/>
      <c r="B922" s="249"/>
      <c r="C922" s="249"/>
      <c r="D922" s="30"/>
      <c r="E922" s="30"/>
      <c r="F922" s="30"/>
      <c r="G922" s="30"/>
      <c r="H922" s="30"/>
      <c r="I922" s="30"/>
      <c r="J922" s="30"/>
      <c r="K922" s="30"/>
      <c r="L922" s="30"/>
      <c r="M922" s="30"/>
      <c r="N922" s="30"/>
      <c r="R922" s="240"/>
    </row>
    <row r="923">
      <c r="A923" s="30"/>
      <c r="B923" s="249"/>
      <c r="C923" s="249"/>
      <c r="D923" s="30"/>
      <c r="E923" s="30"/>
      <c r="F923" s="30"/>
      <c r="G923" s="30"/>
      <c r="H923" s="30"/>
      <c r="I923" s="30"/>
      <c r="J923" s="30"/>
      <c r="K923" s="30"/>
      <c r="L923" s="30"/>
      <c r="M923" s="30"/>
      <c r="N923" s="30"/>
      <c r="R923" s="240"/>
    </row>
    <row r="924">
      <c r="A924" s="30"/>
      <c r="B924" s="249"/>
      <c r="C924" s="249"/>
      <c r="D924" s="30"/>
      <c r="E924" s="30"/>
      <c r="F924" s="30"/>
      <c r="G924" s="30"/>
      <c r="H924" s="30"/>
      <c r="I924" s="30"/>
      <c r="J924" s="30"/>
      <c r="K924" s="30"/>
      <c r="L924" s="30"/>
      <c r="M924" s="30"/>
      <c r="N924" s="30"/>
      <c r="R924" s="240"/>
    </row>
    <row r="925">
      <c r="A925" s="30"/>
      <c r="B925" s="249"/>
      <c r="C925" s="249"/>
      <c r="D925" s="30"/>
      <c r="E925" s="30"/>
      <c r="F925" s="30"/>
      <c r="G925" s="30"/>
      <c r="H925" s="30"/>
      <c r="I925" s="30"/>
      <c r="J925" s="30"/>
      <c r="K925" s="30"/>
      <c r="L925" s="30"/>
      <c r="M925" s="30"/>
      <c r="N925" s="30"/>
      <c r="R925" s="240"/>
    </row>
    <row r="926">
      <c r="A926" s="30"/>
      <c r="B926" s="249"/>
      <c r="C926" s="249"/>
      <c r="D926" s="30"/>
      <c r="E926" s="30"/>
      <c r="F926" s="30"/>
      <c r="G926" s="30"/>
      <c r="H926" s="30"/>
      <c r="I926" s="30"/>
      <c r="J926" s="30"/>
      <c r="K926" s="30"/>
      <c r="L926" s="30"/>
      <c r="M926" s="30"/>
      <c r="N926" s="30"/>
      <c r="R926" s="240"/>
    </row>
    <row r="927">
      <c r="A927" s="30"/>
      <c r="B927" s="249"/>
      <c r="C927" s="249"/>
      <c r="D927" s="30"/>
      <c r="E927" s="30"/>
      <c r="F927" s="30"/>
      <c r="G927" s="30"/>
      <c r="H927" s="30"/>
      <c r="I927" s="30"/>
      <c r="J927" s="30"/>
      <c r="K927" s="30"/>
      <c r="L927" s="30"/>
      <c r="M927" s="30"/>
      <c r="N927" s="30"/>
      <c r="R927" s="240"/>
    </row>
    <row r="928">
      <c r="A928" s="30"/>
      <c r="B928" s="249"/>
      <c r="C928" s="249"/>
      <c r="D928" s="30"/>
      <c r="E928" s="30"/>
      <c r="F928" s="30"/>
      <c r="G928" s="30"/>
      <c r="H928" s="30"/>
      <c r="I928" s="30"/>
      <c r="J928" s="30"/>
      <c r="K928" s="30"/>
      <c r="L928" s="30"/>
      <c r="M928" s="30"/>
      <c r="N928" s="30"/>
      <c r="R928" s="240"/>
    </row>
    <row r="929">
      <c r="A929" s="30"/>
      <c r="B929" s="249"/>
      <c r="C929" s="249"/>
      <c r="D929" s="30"/>
      <c r="E929" s="30"/>
      <c r="F929" s="30"/>
      <c r="G929" s="30"/>
      <c r="H929" s="30"/>
      <c r="I929" s="30"/>
      <c r="J929" s="30"/>
      <c r="K929" s="30"/>
      <c r="L929" s="30"/>
      <c r="M929" s="30"/>
      <c r="N929" s="30"/>
      <c r="R929" s="240"/>
    </row>
    <row r="930">
      <c r="A930" s="30"/>
      <c r="B930" s="249"/>
      <c r="C930" s="249"/>
      <c r="D930" s="30"/>
      <c r="E930" s="30"/>
      <c r="F930" s="30"/>
      <c r="G930" s="30"/>
      <c r="H930" s="30"/>
      <c r="I930" s="30"/>
      <c r="J930" s="30"/>
      <c r="K930" s="30"/>
      <c r="L930" s="30"/>
      <c r="M930" s="30"/>
      <c r="N930" s="30"/>
      <c r="R930" s="240"/>
    </row>
    <row r="931">
      <c r="A931" s="30"/>
      <c r="B931" s="249"/>
      <c r="C931" s="249"/>
      <c r="D931" s="30"/>
      <c r="E931" s="30"/>
      <c r="F931" s="30"/>
      <c r="G931" s="30"/>
      <c r="H931" s="30"/>
      <c r="I931" s="30"/>
      <c r="J931" s="30"/>
      <c r="K931" s="30"/>
      <c r="L931" s="30"/>
      <c r="M931" s="30"/>
      <c r="N931" s="30"/>
      <c r="R931" s="240"/>
    </row>
    <row r="932">
      <c r="A932" s="30"/>
      <c r="B932" s="249"/>
      <c r="C932" s="249"/>
      <c r="D932" s="30"/>
      <c r="E932" s="30"/>
      <c r="F932" s="30"/>
      <c r="G932" s="30"/>
      <c r="H932" s="30"/>
      <c r="I932" s="30"/>
      <c r="J932" s="30"/>
      <c r="K932" s="30"/>
      <c r="L932" s="30"/>
      <c r="M932" s="30"/>
      <c r="N932" s="30"/>
      <c r="R932" s="240"/>
    </row>
    <row r="933">
      <c r="A933" s="30"/>
      <c r="B933" s="249"/>
      <c r="C933" s="249"/>
      <c r="D933" s="30"/>
      <c r="E933" s="30"/>
      <c r="F933" s="30"/>
      <c r="G933" s="30"/>
      <c r="H933" s="30"/>
      <c r="I933" s="30"/>
      <c r="J933" s="30"/>
      <c r="K933" s="30"/>
      <c r="L933" s="30"/>
      <c r="M933" s="30"/>
      <c r="N933" s="30"/>
      <c r="R933" s="240"/>
    </row>
    <row r="934">
      <c r="A934" s="30"/>
      <c r="B934" s="249"/>
      <c r="C934" s="249"/>
      <c r="D934" s="30"/>
      <c r="E934" s="30"/>
      <c r="F934" s="30"/>
      <c r="G934" s="30"/>
      <c r="H934" s="30"/>
      <c r="I934" s="30"/>
      <c r="J934" s="30"/>
      <c r="K934" s="30"/>
      <c r="L934" s="30"/>
      <c r="M934" s="30"/>
      <c r="N934" s="30"/>
      <c r="R934" s="240"/>
    </row>
    <row r="935">
      <c r="A935" s="30"/>
      <c r="B935" s="249"/>
      <c r="C935" s="249"/>
      <c r="D935" s="30"/>
      <c r="E935" s="30"/>
      <c r="F935" s="30"/>
      <c r="G935" s="30"/>
      <c r="H935" s="30"/>
      <c r="I935" s="30"/>
      <c r="J935" s="30"/>
      <c r="K935" s="30"/>
      <c r="L935" s="30"/>
      <c r="M935" s="30"/>
      <c r="N935" s="30"/>
      <c r="R935" s="240"/>
    </row>
    <row r="936">
      <c r="A936" s="30"/>
      <c r="B936" s="249"/>
      <c r="C936" s="249"/>
      <c r="D936" s="30"/>
      <c r="E936" s="30"/>
      <c r="F936" s="30"/>
      <c r="G936" s="30"/>
      <c r="H936" s="30"/>
      <c r="I936" s="30"/>
      <c r="J936" s="30"/>
      <c r="K936" s="30"/>
      <c r="L936" s="30"/>
      <c r="M936" s="30"/>
      <c r="N936" s="30"/>
      <c r="R936" s="240"/>
    </row>
    <row r="937">
      <c r="A937" s="30"/>
      <c r="B937" s="249"/>
      <c r="C937" s="249"/>
      <c r="D937" s="30"/>
      <c r="E937" s="30"/>
      <c r="F937" s="30"/>
      <c r="G937" s="30"/>
      <c r="H937" s="30"/>
      <c r="I937" s="30"/>
      <c r="J937" s="30"/>
      <c r="K937" s="30"/>
      <c r="L937" s="30"/>
      <c r="M937" s="30"/>
      <c r="N937" s="30"/>
      <c r="R937" s="240"/>
    </row>
    <row r="938">
      <c r="A938" s="30"/>
      <c r="B938" s="249"/>
      <c r="C938" s="249"/>
      <c r="D938" s="30"/>
      <c r="E938" s="30"/>
      <c r="F938" s="30"/>
      <c r="G938" s="30"/>
      <c r="H938" s="30"/>
      <c r="I938" s="30"/>
      <c r="J938" s="30"/>
      <c r="K938" s="30"/>
      <c r="L938" s="30"/>
      <c r="M938" s="30"/>
      <c r="N938" s="30"/>
      <c r="R938" s="240"/>
    </row>
    <row r="939">
      <c r="A939" s="30"/>
      <c r="B939" s="249"/>
      <c r="C939" s="249"/>
      <c r="D939" s="30"/>
      <c r="E939" s="30"/>
      <c r="F939" s="30"/>
      <c r="G939" s="30"/>
      <c r="H939" s="30"/>
      <c r="I939" s="30"/>
      <c r="J939" s="30"/>
      <c r="K939" s="30"/>
      <c r="L939" s="30"/>
      <c r="M939" s="30"/>
      <c r="N939" s="30"/>
      <c r="R939" s="240"/>
    </row>
    <row r="940">
      <c r="A940" s="30"/>
      <c r="B940" s="249"/>
      <c r="C940" s="249"/>
      <c r="D940" s="30"/>
      <c r="E940" s="30"/>
      <c r="F940" s="30"/>
      <c r="G940" s="30"/>
      <c r="H940" s="30"/>
      <c r="I940" s="30"/>
      <c r="J940" s="30"/>
      <c r="K940" s="30"/>
      <c r="L940" s="30"/>
      <c r="M940" s="30"/>
      <c r="N940" s="30"/>
      <c r="R940" s="240"/>
    </row>
    <row r="941">
      <c r="A941" s="30"/>
      <c r="B941" s="249"/>
      <c r="C941" s="249"/>
      <c r="D941" s="30"/>
      <c r="E941" s="30"/>
      <c r="F941" s="30"/>
      <c r="G941" s="30"/>
      <c r="H941" s="30"/>
      <c r="I941" s="30"/>
      <c r="J941" s="30"/>
      <c r="K941" s="30"/>
      <c r="L941" s="30"/>
      <c r="M941" s="30"/>
      <c r="N941" s="30"/>
      <c r="R941" s="240"/>
    </row>
    <row r="942">
      <c r="A942" s="30"/>
      <c r="B942" s="249"/>
      <c r="C942" s="249"/>
      <c r="D942" s="30"/>
      <c r="E942" s="30"/>
      <c r="F942" s="30"/>
      <c r="G942" s="30"/>
      <c r="H942" s="30"/>
      <c r="I942" s="30"/>
      <c r="J942" s="30"/>
      <c r="K942" s="30"/>
      <c r="L942" s="30"/>
      <c r="M942" s="30"/>
      <c r="N942" s="30"/>
      <c r="R942" s="240"/>
    </row>
    <row r="943">
      <c r="A943" s="30"/>
      <c r="B943" s="249"/>
      <c r="C943" s="249"/>
      <c r="D943" s="30"/>
      <c r="E943" s="30"/>
      <c r="F943" s="30"/>
      <c r="G943" s="30"/>
      <c r="H943" s="30"/>
      <c r="I943" s="30"/>
      <c r="J943" s="30"/>
      <c r="K943" s="30"/>
      <c r="L943" s="30"/>
      <c r="M943" s="30"/>
      <c r="N943" s="30"/>
      <c r="R943" s="240"/>
    </row>
    <row r="944">
      <c r="A944" s="30"/>
      <c r="B944" s="249"/>
      <c r="C944" s="249"/>
      <c r="D944" s="30"/>
      <c r="E944" s="30"/>
      <c r="F944" s="30"/>
      <c r="G944" s="30"/>
      <c r="H944" s="30"/>
      <c r="I944" s="30"/>
      <c r="J944" s="30"/>
      <c r="K944" s="30"/>
      <c r="L944" s="30"/>
      <c r="M944" s="30"/>
      <c r="N944" s="30"/>
      <c r="R944" s="240"/>
    </row>
    <row r="945">
      <c r="A945" s="30"/>
      <c r="B945" s="249"/>
      <c r="C945" s="249"/>
      <c r="D945" s="30"/>
      <c r="E945" s="30"/>
      <c r="F945" s="30"/>
      <c r="G945" s="30"/>
      <c r="H945" s="30"/>
      <c r="I945" s="30"/>
      <c r="J945" s="30"/>
      <c r="K945" s="30"/>
      <c r="L945" s="30"/>
      <c r="M945" s="30"/>
      <c r="N945" s="30"/>
      <c r="R945" s="240"/>
    </row>
    <row r="946">
      <c r="A946" s="30"/>
      <c r="B946" s="249"/>
      <c r="C946" s="249"/>
      <c r="D946" s="30"/>
      <c r="E946" s="30"/>
      <c r="F946" s="30"/>
      <c r="G946" s="30"/>
      <c r="H946" s="30"/>
      <c r="I946" s="30"/>
      <c r="J946" s="30"/>
      <c r="K946" s="30"/>
      <c r="L946" s="30"/>
      <c r="M946" s="30"/>
      <c r="N946" s="30"/>
      <c r="R946" s="240"/>
    </row>
    <row r="947">
      <c r="A947" s="30"/>
      <c r="B947" s="249"/>
      <c r="C947" s="249"/>
      <c r="D947" s="30"/>
      <c r="E947" s="30"/>
      <c r="F947" s="30"/>
      <c r="G947" s="30"/>
      <c r="H947" s="30"/>
      <c r="I947" s="30"/>
      <c r="J947" s="30"/>
      <c r="K947" s="30"/>
      <c r="L947" s="30"/>
      <c r="M947" s="30"/>
      <c r="N947" s="30"/>
      <c r="R947" s="240"/>
    </row>
    <row r="948">
      <c r="A948" s="30"/>
      <c r="B948" s="249"/>
      <c r="C948" s="249"/>
      <c r="D948" s="30"/>
      <c r="E948" s="30"/>
      <c r="F948" s="30"/>
      <c r="G948" s="30"/>
      <c r="H948" s="30"/>
      <c r="I948" s="30"/>
      <c r="J948" s="30"/>
      <c r="K948" s="30"/>
      <c r="L948" s="30"/>
      <c r="M948" s="30"/>
      <c r="N948" s="30"/>
      <c r="R948" s="240"/>
    </row>
    <row r="949">
      <c r="A949" s="30"/>
      <c r="B949" s="249"/>
      <c r="C949" s="249"/>
      <c r="D949" s="30"/>
      <c r="E949" s="30"/>
      <c r="F949" s="30"/>
      <c r="G949" s="30"/>
      <c r="H949" s="30"/>
      <c r="I949" s="30"/>
      <c r="J949" s="30"/>
      <c r="K949" s="30"/>
      <c r="L949" s="30"/>
      <c r="M949" s="30"/>
      <c r="N949" s="30"/>
      <c r="R949" s="240"/>
    </row>
    <row r="950">
      <c r="A950" s="30"/>
      <c r="B950" s="249"/>
      <c r="C950" s="249"/>
      <c r="D950" s="30"/>
      <c r="E950" s="30"/>
      <c r="F950" s="30"/>
      <c r="G950" s="30"/>
      <c r="H950" s="30"/>
      <c r="I950" s="30"/>
      <c r="J950" s="30"/>
      <c r="K950" s="30"/>
      <c r="L950" s="30"/>
      <c r="M950" s="30"/>
      <c r="N950" s="30"/>
      <c r="R950" s="240"/>
    </row>
    <row r="951">
      <c r="A951" s="30"/>
      <c r="B951" s="249"/>
      <c r="C951" s="249"/>
      <c r="D951" s="30"/>
      <c r="E951" s="30"/>
      <c r="F951" s="30"/>
      <c r="G951" s="30"/>
      <c r="H951" s="30"/>
      <c r="I951" s="30"/>
      <c r="J951" s="30"/>
      <c r="K951" s="30"/>
      <c r="L951" s="30"/>
      <c r="M951" s="30"/>
      <c r="N951" s="30"/>
      <c r="R951" s="240"/>
    </row>
    <row r="952">
      <c r="A952" s="30"/>
      <c r="B952" s="249"/>
      <c r="C952" s="249"/>
      <c r="D952" s="30"/>
      <c r="E952" s="30"/>
      <c r="F952" s="30"/>
      <c r="G952" s="30"/>
      <c r="H952" s="30"/>
      <c r="I952" s="30"/>
      <c r="J952" s="30"/>
      <c r="K952" s="30"/>
      <c r="L952" s="30"/>
      <c r="M952" s="30"/>
      <c r="N952" s="30"/>
      <c r="R952" s="240"/>
    </row>
    <row r="953">
      <c r="A953" s="30"/>
      <c r="B953" s="249"/>
      <c r="C953" s="249"/>
      <c r="D953" s="30"/>
      <c r="E953" s="30"/>
      <c r="F953" s="30"/>
      <c r="G953" s="30"/>
      <c r="H953" s="30"/>
      <c r="I953" s="30"/>
      <c r="J953" s="30"/>
      <c r="K953" s="30"/>
      <c r="L953" s="30"/>
      <c r="M953" s="30"/>
      <c r="N953" s="30"/>
      <c r="R953" s="240"/>
    </row>
    <row r="954">
      <c r="A954" s="30"/>
      <c r="B954" s="249"/>
      <c r="C954" s="249"/>
      <c r="D954" s="30"/>
      <c r="E954" s="30"/>
      <c r="F954" s="30"/>
      <c r="G954" s="30"/>
      <c r="H954" s="30"/>
      <c r="I954" s="30"/>
      <c r="J954" s="30"/>
      <c r="K954" s="30"/>
      <c r="L954" s="30"/>
      <c r="M954" s="30"/>
      <c r="N954" s="30"/>
      <c r="R954" s="240"/>
    </row>
    <row r="955">
      <c r="A955" s="30"/>
      <c r="B955" s="249"/>
      <c r="C955" s="249"/>
      <c r="D955" s="30"/>
      <c r="E955" s="30"/>
      <c r="F955" s="30"/>
      <c r="G955" s="30"/>
      <c r="H955" s="30"/>
      <c r="I955" s="30"/>
      <c r="J955" s="30"/>
      <c r="K955" s="30"/>
      <c r="L955" s="30"/>
      <c r="M955" s="30"/>
      <c r="N955" s="30"/>
      <c r="R955" s="240"/>
    </row>
    <row r="956">
      <c r="A956" s="30"/>
      <c r="B956" s="249"/>
      <c r="C956" s="249"/>
      <c r="D956" s="30"/>
      <c r="E956" s="30"/>
      <c r="F956" s="30"/>
      <c r="G956" s="30"/>
      <c r="H956" s="30"/>
      <c r="I956" s="30"/>
      <c r="J956" s="30"/>
      <c r="K956" s="30"/>
      <c r="L956" s="30"/>
      <c r="M956" s="30"/>
      <c r="N956" s="30"/>
      <c r="R956" s="240"/>
    </row>
    <row r="957">
      <c r="A957" s="30"/>
      <c r="B957" s="249"/>
      <c r="C957" s="249"/>
      <c r="D957" s="30"/>
      <c r="E957" s="30"/>
      <c r="F957" s="30"/>
      <c r="G957" s="30"/>
      <c r="H957" s="30"/>
      <c r="I957" s="30"/>
      <c r="J957" s="30"/>
      <c r="K957" s="30"/>
      <c r="L957" s="30"/>
      <c r="M957" s="30"/>
      <c r="N957" s="30"/>
      <c r="R957" s="240"/>
    </row>
    <row r="958">
      <c r="A958" s="30"/>
      <c r="B958" s="249"/>
      <c r="C958" s="249"/>
      <c r="D958" s="30"/>
      <c r="E958" s="30"/>
      <c r="F958" s="30"/>
      <c r="G958" s="30"/>
      <c r="H958" s="30"/>
      <c r="I958" s="30"/>
      <c r="J958" s="30"/>
      <c r="K958" s="30"/>
      <c r="L958" s="30"/>
      <c r="M958" s="30"/>
      <c r="N958" s="30"/>
      <c r="R958" s="240"/>
    </row>
    <row r="959">
      <c r="A959" s="30"/>
      <c r="B959" s="249"/>
      <c r="C959" s="249"/>
      <c r="D959" s="30"/>
      <c r="E959" s="30"/>
      <c r="F959" s="30"/>
      <c r="G959" s="30"/>
      <c r="H959" s="30"/>
      <c r="I959" s="30"/>
      <c r="J959" s="30"/>
      <c r="K959" s="30"/>
      <c r="L959" s="30"/>
      <c r="M959" s="30"/>
      <c r="N959" s="30"/>
      <c r="R959" s="240"/>
    </row>
    <row r="960">
      <c r="A960" s="30"/>
      <c r="B960" s="249"/>
      <c r="C960" s="249"/>
      <c r="D960" s="30"/>
      <c r="E960" s="30"/>
      <c r="F960" s="30"/>
      <c r="G960" s="30"/>
      <c r="H960" s="30"/>
      <c r="I960" s="30"/>
      <c r="J960" s="30"/>
      <c r="K960" s="30"/>
      <c r="L960" s="30"/>
      <c r="M960" s="30"/>
      <c r="N960" s="30"/>
      <c r="R960" s="240"/>
    </row>
    <row r="961">
      <c r="A961" s="30"/>
      <c r="B961" s="249"/>
      <c r="C961" s="249"/>
      <c r="D961" s="30"/>
      <c r="E961" s="30"/>
      <c r="F961" s="30"/>
      <c r="G961" s="30"/>
      <c r="H961" s="30"/>
      <c r="I961" s="30"/>
      <c r="J961" s="30"/>
      <c r="K961" s="30"/>
      <c r="L961" s="30"/>
      <c r="M961" s="30"/>
      <c r="N961" s="30"/>
      <c r="R961" s="240"/>
    </row>
    <row r="962">
      <c r="A962" s="30"/>
      <c r="B962" s="249"/>
      <c r="C962" s="249"/>
      <c r="D962" s="30"/>
      <c r="E962" s="30"/>
      <c r="F962" s="30"/>
      <c r="G962" s="30"/>
      <c r="H962" s="30"/>
      <c r="I962" s="30"/>
      <c r="J962" s="30"/>
      <c r="K962" s="30"/>
      <c r="L962" s="30"/>
      <c r="M962" s="30"/>
      <c r="N962" s="30"/>
      <c r="R962" s="240"/>
    </row>
    <row r="963">
      <c r="A963" s="30"/>
      <c r="B963" s="249"/>
      <c r="C963" s="249"/>
      <c r="D963" s="30"/>
      <c r="E963" s="30"/>
      <c r="F963" s="30"/>
      <c r="G963" s="30"/>
      <c r="H963" s="30"/>
      <c r="I963" s="30"/>
      <c r="J963" s="30"/>
      <c r="K963" s="30"/>
      <c r="L963" s="30"/>
      <c r="M963" s="30"/>
      <c r="N963" s="30"/>
      <c r="R963" s="240"/>
    </row>
    <row r="964">
      <c r="A964" s="30"/>
      <c r="B964" s="249"/>
      <c r="C964" s="249"/>
      <c r="D964" s="30"/>
      <c r="E964" s="30"/>
      <c r="F964" s="30"/>
      <c r="G964" s="30"/>
      <c r="H964" s="30"/>
      <c r="I964" s="30"/>
      <c r="J964" s="30"/>
      <c r="K964" s="30"/>
      <c r="L964" s="30"/>
      <c r="M964" s="30"/>
      <c r="N964" s="30"/>
      <c r="R964" s="240"/>
    </row>
    <row r="965">
      <c r="A965" s="30"/>
      <c r="B965" s="249"/>
      <c r="C965" s="249"/>
      <c r="D965" s="30"/>
      <c r="E965" s="30"/>
      <c r="F965" s="30"/>
      <c r="G965" s="30"/>
      <c r="H965" s="30"/>
      <c r="I965" s="30"/>
      <c r="J965" s="30"/>
      <c r="K965" s="30"/>
      <c r="L965" s="30"/>
      <c r="M965" s="30"/>
      <c r="N965" s="30"/>
      <c r="R965" s="240"/>
    </row>
    <row r="966">
      <c r="A966" s="30"/>
      <c r="B966" s="249"/>
      <c r="C966" s="249"/>
      <c r="D966" s="30"/>
      <c r="E966" s="30"/>
      <c r="F966" s="30"/>
      <c r="G966" s="30"/>
      <c r="H966" s="30"/>
      <c r="I966" s="30"/>
      <c r="J966" s="30"/>
      <c r="K966" s="30"/>
      <c r="L966" s="30"/>
      <c r="M966" s="30"/>
      <c r="N966" s="30"/>
      <c r="R966" s="240"/>
    </row>
    <row r="967">
      <c r="A967" s="30"/>
      <c r="B967" s="249"/>
      <c r="C967" s="249"/>
      <c r="D967" s="30"/>
      <c r="E967" s="30"/>
      <c r="F967" s="30"/>
      <c r="G967" s="30"/>
      <c r="H967" s="30"/>
      <c r="I967" s="30"/>
      <c r="J967" s="30"/>
      <c r="K967" s="30"/>
      <c r="L967" s="30"/>
      <c r="M967" s="30"/>
      <c r="N967" s="30"/>
      <c r="R967" s="240"/>
    </row>
    <row r="968">
      <c r="A968" s="30"/>
      <c r="B968" s="249"/>
      <c r="C968" s="249"/>
      <c r="D968" s="30"/>
      <c r="E968" s="30"/>
      <c r="F968" s="30"/>
      <c r="G968" s="30"/>
      <c r="H968" s="30"/>
      <c r="I968" s="30"/>
      <c r="J968" s="30"/>
      <c r="K968" s="30"/>
      <c r="L968" s="30"/>
      <c r="M968" s="30"/>
      <c r="N968" s="30"/>
      <c r="R968" s="240"/>
    </row>
    <row r="969">
      <c r="A969" s="30"/>
      <c r="B969" s="249"/>
      <c r="C969" s="249"/>
      <c r="D969" s="30"/>
      <c r="E969" s="30"/>
      <c r="F969" s="30"/>
      <c r="G969" s="30"/>
      <c r="H969" s="30"/>
      <c r="I969" s="30"/>
      <c r="J969" s="30"/>
      <c r="K969" s="30"/>
      <c r="L969" s="30"/>
      <c r="M969" s="30"/>
      <c r="N969" s="30"/>
      <c r="R969" s="240"/>
    </row>
    <row r="970">
      <c r="A970" s="30"/>
      <c r="B970" s="249"/>
      <c r="C970" s="249"/>
      <c r="D970" s="30"/>
      <c r="E970" s="30"/>
      <c r="F970" s="30"/>
      <c r="G970" s="30"/>
      <c r="H970" s="30"/>
      <c r="I970" s="30"/>
      <c r="J970" s="30"/>
      <c r="K970" s="30"/>
      <c r="L970" s="30"/>
      <c r="M970" s="30"/>
      <c r="N970" s="30"/>
      <c r="R970" s="240"/>
    </row>
    <row r="971">
      <c r="A971" s="30"/>
      <c r="B971" s="249"/>
      <c r="C971" s="249"/>
      <c r="D971" s="30"/>
      <c r="E971" s="30"/>
      <c r="F971" s="30"/>
      <c r="G971" s="30"/>
      <c r="H971" s="30"/>
      <c r="I971" s="30"/>
      <c r="J971" s="30"/>
      <c r="K971" s="30"/>
      <c r="L971" s="30"/>
      <c r="M971" s="30"/>
      <c r="N971" s="30"/>
      <c r="R971" s="240"/>
    </row>
    <row r="972">
      <c r="A972" s="30"/>
      <c r="B972" s="249"/>
      <c r="C972" s="249"/>
      <c r="D972" s="30"/>
      <c r="E972" s="30"/>
      <c r="F972" s="30"/>
      <c r="G972" s="30"/>
      <c r="H972" s="30"/>
      <c r="I972" s="30"/>
      <c r="J972" s="30"/>
      <c r="K972" s="30"/>
      <c r="L972" s="30"/>
      <c r="M972" s="30"/>
      <c r="N972" s="30"/>
      <c r="R972" s="240"/>
    </row>
    <row r="973">
      <c r="A973" s="30"/>
      <c r="B973" s="249"/>
      <c r="C973" s="249"/>
      <c r="D973" s="30"/>
      <c r="E973" s="30"/>
      <c r="F973" s="30"/>
      <c r="G973" s="30"/>
      <c r="H973" s="30"/>
      <c r="I973" s="30"/>
      <c r="J973" s="30"/>
      <c r="K973" s="30"/>
      <c r="L973" s="30"/>
      <c r="M973" s="30"/>
      <c r="N973" s="30"/>
      <c r="R973" s="240"/>
    </row>
    <row r="974">
      <c r="A974" s="30"/>
      <c r="B974" s="249"/>
      <c r="C974" s="249"/>
      <c r="D974" s="30"/>
      <c r="E974" s="30"/>
      <c r="F974" s="30"/>
      <c r="G974" s="30"/>
      <c r="H974" s="30"/>
      <c r="I974" s="30"/>
      <c r="J974" s="30"/>
      <c r="K974" s="30"/>
      <c r="L974" s="30"/>
      <c r="M974" s="30"/>
      <c r="N974" s="30"/>
      <c r="R974" s="240"/>
    </row>
    <row r="975">
      <c r="A975" s="30"/>
      <c r="B975" s="249"/>
      <c r="C975" s="249"/>
      <c r="D975" s="30"/>
      <c r="E975" s="30"/>
      <c r="F975" s="30"/>
      <c r="G975" s="30"/>
      <c r="H975" s="30"/>
      <c r="I975" s="30"/>
      <c r="J975" s="30"/>
      <c r="K975" s="30"/>
      <c r="L975" s="30"/>
      <c r="M975" s="30"/>
      <c r="N975" s="30"/>
      <c r="R975" s="240"/>
    </row>
    <row r="976">
      <c r="A976" s="30"/>
      <c r="B976" s="249"/>
      <c r="C976" s="249"/>
      <c r="D976" s="30"/>
      <c r="E976" s="30"/>
      <c r="F976" s="30"/>
      <c r="G976" s="30"/>
      <c r="H976" s="30"/>
      <c r="I976" s="30"/>
      <c r="J976" s="30"/>
      <c r="K976" s="30"/>
      <c r="L976" s="30"/>
      <c r="M976" s="30"/>
      <c r="N976" s="30"/>
      <c r="R976" s="240"/>
    </row>
    <row r="977">
      <c r="A977" s="30"/>
      <c r="B977" s="249"/>
      <c r="C977" s="249"/>
      <c r="D977" s="30"/>
      <c r="E977" s="30"/>
      <c r="F977" s="30"/>
      <c r="G977" s="30"/>
      <c r="H977" s="30"/>
      <c r="I977" s="30"/>
      <c r="J977" s="30"/>
      <c r="K977" s="30"/>
      <c r="L977" s="30"/>
      <c r="M977" s="30"/>
      <c r="N977" s="30"/>
      <c r="R977" s="240"/>
    </row>
    <row r="978">
      <c r="A978" s="30"/>
      <c r="B978" s="249"/>
      <c r="C978" s="249"/>
      <c r="D978" s="30"/>
      <c r="E978" s="30"/>
      <c r="F978" s="30"/>
      <c r="G978" s="30"/>
      <c r="H978" s="30"/>
      <c r="I978" s="30"/>
      <c r="J978" s="30"/>
      <c r="K978" s="30"/>
      <c r="L978" s="30"/>
      <c r="M978" s="30"/>
      <c r="N978" s="30"/>
      <c r="R978" s="240"/>
    </row>
    <row r="979">
      <c r="A979" s="30"/>
      <c r="B979" s="249"/>
      <c r="C979" s="249"/>
      <c r="D979" s="30"/>
      <c r="E979" s="30"/>
      <c r="F979" s="30"/>
      <c r="G979" s="30"/>
      <c r="H979" s="30"/>
      <c r="I979" s="30"/>
      <c r="J979" s="30"/>
      <c r="K979" s="30"/>
      <c r="L979" s="30"/>
      <c r="M979" s="30"/>
      <c r="N979" s="30"/>
      <c r="R979" s="240"/>
    </row>
    <row r="980">
      <c r="A980" s="30"/>
      <c r="B980" s="249"/>
      <c r="C980" s="249"/>
      <c r="D980" s="30"/>
      <c r="E980" s="30"/>
      <c r="F980" s="30"/>
      <c r="G980" s="30"/>
      <c r="H980" s="30"/>
      <c r="I980" s="30"/>
      <c r="J980" s="30"/>
      <c r="K980" s="30"/>
      <c r="L980" s="30"/>
      <c r="M980" s="30"/>
      <c r="N980" s="30"/>
      <c r="R980" s="240"/>
    </row>
    <row r="981">
      <c r="A981" s="30"/>
      <c r="B981" s="249"/>
      <c r="C981" s="249"/>
      <c r="D981" s="30"/>
      <c r="E981" s="30"/>
      <c r="F981" s="30"/>
      <c r="G981" s="30"/>
      <c r="H981" s="30"/>
      <c r="I981" s="30"/>
      <c r="J981" s="30"/>
      <c r="K981" s="30"/>
      <c r="L981" s="30"/>
      <c r="M981" s="30"/>
      <c r="N981" s="30"/>
      <c r="R981" s="240"/>
    </row>
    <row r="982">
      <c r="A982" s="30"/>
      <c r="B982" s="249"/>
      <c r="C982" s="249"/>
      <c r="D982" s="30"/>
      <c r="E982" s="30"/>
      <c r="F982" s="30"/>
      <c r="G982" s="30"/>
      <c r="H982" s="30"/>
      <c r="I982" s="30"/>
      <c r="J982" s="30"/>
      <c r="K982" s="30"/>
      <c r="L982" s="30"/>
      <c r="M982" s="30"/>
      <c r="N982" s="30"/>
      <c r="R982" s="240"/>
    </row>
    <row r="983">
      <c r="A983" s="30"/>
      <c r="B983" s="249"/>
      <c r="C983" s="249"/>
      <c r="D983" s="30"/>
      <c r="E983" s="30"/>
      <c r="F983" s="30"/>
      <c r="G983" s="30"/>
      <c r="H983" s="30"/>
      <c r="I983" s="30"/>
      <c r="J983" s="30"/>
      <c r="K983" s="30"/>
      <c r="L983" s="30"/>
      <c r="M983" s="30"/>
      <c r="N983" s="30"/>
      <c r="R983" s="240"/>
    </row>
    <row r="984">
      <c r="A984" s="30"/>
      <c r="B984" s="249"/>
      <c r="C984" s="249"/>
      <c r="D984" s="30"/>
      <c r="E984" s="30"/>
      <c r="F984" s="30"/>
      <c r="G984" s="30"/>
      <c r="H984" s="30"/>
      <c r="I984" s="30"/>
      <c r="J984" s="30"/>
      <c r="K984" s="30"/>
      <c r="L984" s="30"/>
      <c r="M984" s="30"/>
      <c r="N984" s="30"/>
      <c r="R984" s="240"/>
    </row>
    <row r="985">
      <c r="A985" s="30"/>
      <c r="B985" s="249"/>
      <c r="C985" s="249"/>
      <c r="D985" s="30"/>
      <c r="E985" s="30"/>
      <c r="F985" s="30"/>
      <c r="G985" s="30"/>
      <c r="H985" s="30"/>
      <c r="I985" s="30"/>
      <c r="J985" s="30"/>
      <c r="K985" s="30"/>
      <c r="L985" s="30"/>
      <c r="M985" s="30"/>
      <c r="N985" s="30"/>
      <c r="R985" s="240"/>
    </row>
    <row r="986">
      <c r="A986" s="30"/>
      <c r="B986" s="249"/>
      <c r="C986" s="249"/>
      <c r="D986" s="30"/>
      <c r="E986" s="30"/>
      <c r="F986" s="30"/>
      <c r="G986" s="30"/>
      <c r="H986" s="30"/>
      <c r="I986" s="30"/>
      <c r="J986" s="30"/>
      <c r="K986" s="30"/>
      <c r="L986" s="30"/>
      <c r="M986" s="30"/>
      <c r="N986" s="30"/>
      <c r="R986" s="240"/>
    </row>
    <row r="987">
      <c r="A987" s="30"/>
      <c r="B987" s="249"/>
      <c r="C987" s="249"/>
      <c r="D987" s="30"/>
      <c r="E987" s="30"/>
      <c r="F987" s="30"/>
      <c r="G987" s="30"/>
      <c r="H987" s="30"/>
      <c r="I987" s="30"/>
      <c r="J987" s="30"/>
      <c r="K987" s="30"/>
      <c r="L987" s="30"/>
      <c r="M987" s="30"/>
      <c r="N987" s="30"/>
      <c r="R987" s="240"/>
    </row>
    <row r="988">
      <c r="A988" s="30"/>
      <c r="B988" s="249"/>
      <c r="C988" s="249"/>
      <c r="D988" s="30"/>
      <c r="E988" s="30"/>
      <c r="F988" s="30"/>
      <c r="G988" s="30"/>
      <c r="H988" s="30"/>
      <c r="I988" s="30"/>
      <c r="J988" s="30"/>
      <c r="K988" s="30"/>
      <c r="L988" s="30"/>
      <c r="M988" s="30"/>
      <c r="N988" s="30"/>
      <c r="R988" s="240"/>
    </row>
    <row r="989">
      <c r="A989" s="30"/>
      <c r="B989" s="249"/>
      <c r="C989" s="249"/>
      <c r="D989" s="30"/>
      <c r="E989" s="30"/>
      <c r="F989" s="30"/>
      <c r="G989" s="30"/>
      <c r="H989" s="30"/>
      <c r="I989" s="30"/>
      <c r="J989" s="30"/>
      <c r="K989" s="30"/>
      <c r="L989" s="30"/>
      <c r="M989" s="30"/>
      <c r="N989" s="30"/>
      <c r="R989" s="240"/>
    </row>
    <row r="990">
      <c r="A990" s="30"/>
      <c r="B990" s="249"/>
      <c r="C990" s="249"/>
      <c r="D990" s="30"/>
      <c r="E990" s="30"/>
      <c r="F990" s="30"/>
      <c r="G990" s="30"/>
      <c r="H990" s="30"/>
      <c r="I990" s="30"/>
      <c r="J990" s="30"/>
      <c r="K990" s="30"/>
      <c r="L990" s="30"/>
      <c r="M990" s="30"/>
      <c r="N990" s="30"/>
      <c r="R990" s="240"/>
    </row>
    <row r="991">
      <c r="A991" s="30"/>
      <c r="B991" s="249"/>
      <c r="C991" s="249"/>
      <c r="D991" s="30"/>
      <c r="E991" s="30"/>
      <c r="F991" s="30"/>
      <c r="G991" s="30"/>
      <c r="H991" s="30"/>
      <c r="I991" s="30"/>
      <c r="J991" s="30"/>
      <c r="K991" s="30"/>
      <c r="L991" s="30"/>
      <c r="M991" s="30"/>
      <c r="N991" s="30"/>
      <c r="R991" s="240"/>
    </row>
    <row r="992">
      <c r="A992" s="30"/>
      <c r="B992" s="249"/>
      <c r="C992" s="249"/>
      <c r="D992" s="30"/>
      <c r="E992" s="30"/>
      <c r="F992" s="30"/>
      <c r="G992" s="30"/>
      <c r="H992" s="30"/>
      <c r="I992" s="30"/>
      <c r="J992" s="30"/>
      <c r="K992" s="30"/>
      <c r="L992" s="30"/>
      <c r="M992" s="30"/>
      <c r="N992" s="30"/>
      <c r="R992" s="240"/>
    </row>
    <row r="993">
      <c r="A993" s="30"/>
      <c r="B993" s="249"/>
      <c r="C993" s="249"/>
      <c r="D993" s="30"/>
      <c r="E993" s="30"/>
      <c r="F993" s="30"/>
      <c r="G993" s="30"/>
      <c r="H993" s="30"/>
      <c r="I993" s="30"/>
      <c r="J993" s="30"/>
      <c r="K993" s="30"/>
      <c r="L993" s="30"/>
      <c r="M993" s="30"/>
      <c r="N993" s="30"/>
      <c r="R993" s="240"/>
    </row>
    <row r="994">
      <c r="A994" s="30"/>
      <c r="B994" s="249"/>
      <c r="C994" s="249"/>
      <c r="D994" s="30"/>
      <c r="E994" s="30"/>
      <c r="F994" s="30"/>
      <c r="G994" s="30"/>
      <c r="H994" s="30"/>
      <c r="I994" s="30"/>
      <c r="J994" s="30"/>
      <c r="K994" s="30"/>
      <c r="L994" s="30"/>
      <c r="M994" s="30"/>
      <c r="N994" s="30"/>
      <c r="R994" s="240"/>
    </row>
    <row r="995">
      <c r="A995" s="30"/>
      <c r="B995" s="249"/>
      <c r="C995" s="249"/>
      <c r="D995" s="30"/>
      <c r="E995" s="30"/>
      <c r="F995" s="30"/>
      <c r="G995" s="30"/>
      <c r="H995" s="30"/>
      <c r="I995" s="30"/>
      <c r="J995" s="30"/>
      <c r="K995" s="30"/>
      <c r="L995" s="30"/>
      <c r="M995" s="30"/>
      <c r="N995" s="30"/>
      <c r="R995" s="240"/>
    </row>
    <row r="996">
      <c r="A996" s="30"/>
      <c r="B996" s="249"/>
      <c r="C996" s="249"/>
      <c r="D996" s="30"/>
      <c r="E996" s="30"/>
      <c r="F996" s="30"/>
      <c r="G996" s="30"/>
      <c r="H996" s="30"/>
      <c r="I996" s="30"/>
      <c r="J996" s="30"/>
      <c r="K996" s="30"/>
      <c r="L996" s="30"/>
      <c r="M996" s="30"/>
      <c r="N996" s="30"/>
      <c r="R996" s="240"/>
    </row>
    <row r="997">
      <c r="A997" s="30"/>
      <c r="B997" s="249"/>
      <c r="C997" s="249"/>
      <c r="D997" s="30"/>
      <c r="E997" s="30"/>
      <c r="F997" s="30"/>
      <c r="G997" s="30"/>
      <c r="H997" s="30"/>
      <c r="I997" s="30"/>
      <c r="J997" s="30"/>
      <c r="K997" s="30"/>
      <c r="L997" s="30"/>
      <c r="M997" s="30"/>
      <c r="N997" s="30"/>
      <c r="R997" s="240"/>
    </row>
    <row r="998">
      <c r="A998" s="30"/>
      <c r="B998" s="249"/>
      <c r="C998" s="249"/>
      <c r="D998" s="30"/>
      <c r="E998" s="30"/>
      <c r="F998" s="30"/>
      <c r="G998" s="30"/>
      <c r="H998" s="30"/>
      <c r="I998" s="30"/>
      <c r="J998" s="30"/>
      <c r="K998" s="30"/>
      <c r="L998" s="30"/>
      <c r="M998" s="30"/>
      <c r="N998" s="30"/>
      <c r="R998" s="240"/>
    </row>
    <row r="999">
      <c r="A999" s="30"/>
      <c r="B999" s="249"/>
      <c r="C999" s="249"/>
      <c r="D999" s="30"/>
      <c r="E999" s="30"/>
      <c r="F999" s="30"/>
      <c r="G999" s="30"/>
      <c r="H999" s="30"/>
      <c r="I999" s="30"/>
      <c r="J999" s="30"/>
      <c r="K999" s="30"/>
      <c r="L999" s="30"/>
      <c r="M999" s="30"/>
      <c r="N999" s="30"/>
      <c r="R999" s="240"/>
    </row>
    <row r="1000">
      <c r="A1000" s="30"/>
      <c r="B1000" s="249"/>
      <c r="C1000" s="249"/>
      <c r="D1000" s="30"/>
      <c r="E1000" s="30"/>
      <c r="F1000" s="30"/>
      <c r="G1000" s="30"/>
      <c r="H1000" s="30"/>
      <c r="I1000" s="30"/>
      <c r="J1000" s="30"/>
      <c r="K1000" s="30"/>
      <c r="L1000" s="30"/>
      <c r="M1000" s="30"/>
      <c r="N1000" s="30"/>
      <c r="R1000" s="240"/>
    </row>
    <row r="1001">
      <c r="A1001" s="30"/>
      <c r="B1001" s="249"/>
      <c r="C1001" s="249"/>
      <c r="D1001" s="30"/>
      <c r="E1001" s="30"/>
      <c r="F1001" s="30"/>
      <c r="G1001" s="30"/>
      <c r="H1001" s="30"/>
      <c r="I1001" s="30"/>
      <c r="J1001" s="30"/>
      <c r="K1001" s="30"/>
      <c r="L1001" s="30"/>
      <c r="M1001" s="30"/>
      <c r="N1001" s="30"/>
      <c r="R1001" s="240"/>
    </row>
    <row r="1002">
      <c r="A1002" s="30"/>
      <c r="B1002" s="249"/>
      <c r="C1002" s="249"/>
      <c r="D1002" s="30"/>
      <c r="E1002" s="30"/>
      <c r="F1002" s="30"/>
      <c r="G1002" s="30"/>
      <c r="H1002" s="30"/>
      <c r="I1002" s="30"/>
      <c r="J1002" s="30"/>
      <c r="K1002" s="30"/>
      <c r="L1002" s="30"/>
      <c r="M1002" s="30"/>
      <c r="N1002" s="30"/>
      <c r="R1002" s="240"/>
    </row>
    <row r="1003">
      <c r="A1003" s="30"/>
      <c r="B1003" s="249"/>
      <c r="C1003" s="249"/>
      <c r="D1003" s="30"/>
      <c r="E1003" s="30"/>
      <c r="F1003" s="30"/>
      <c r="G1003" s="30"/>
      <c r="H1003" s="30"/>
      <c r="I1003" s="30"/>
      <c r="J1003" s="30"/>
      <c r="K1003" s="30"/>
      <c r="L1003" s="30"/>
      <c r="M1003" s="30"/>
      <c r="N1003" s="30"/>
      <c r="R1003" s="240"/>
    </row>
    <row r="1004">
      <c r="A1004" s="30"/>
      <c r="B1004" s="249"/>
      <c r="C1004" s="249"/>
      <c r="D1004" s="30"/>
      <c r="E1004" s="30"/>
      <c r="F1004" s="30"/>
      <c r="G1004" s="30"/>
      <c r="H1004" s="30"/>
      <c r="I1004" s="30"/>
      <c r="J1004" s="30"/>
      <c r="K1004" s="30"/>
      <c r="L1004" s="30"/>
      <c r="M1004" s="30"/>
      <c r="N1004" s="30"/>
      <c r="R1004" s="240"/>
    </row>
    <row r="1005">
      <c r="A1005" s="30"/>
      <c r="B1005" s="249"/>
      <c r="C1005" s="249"/>
      <c r="D1005" s="30"/>
      <c r="E1005" s="30"/>
      <c r="F1005" s="30"/>
      <c r="G1005" s="30"/>
      <c r="H1005" s="30"/>
      <c r="I1005" s="30"/>
      <c r="J1005" s="30"/>
      <c r="K1005" s="30"/>
      <c r="L1005" s="30"/>
      <c r="M1005" s="30"/>
      <c r="N1005" s="30"/>
      <c r="R1005" s="240"/>
    </row>
    <row r="1006">
      <c r="A1006" s="30"/>
      <c r="B1006" s="249"/>
      <c r="C1006" s="249"/>
      <c r="D1006" s="30"/>
      <c r="E1006" s="30"/>
      <c r="F1006" s="30"/>
      <c r="G1006" s="30"/>
      <c r="H1006" s="30"/>
      <c r="I1006" s="30"/>
      <c r="J1006" s="30"/>
      <c r="K1006" s="30"/>
      <c r="L1006" s="30"/>
      <c r="M1006" s="30"/>
      <c r="N1006" s="30"/>
      <c r="R1006" s="240"/>
    </row>
    <row r="1007">
      <c r="A1007" s="30"/>
      <c r="B1007" s="249"/>
      <c r="C1007" s="249"/>
      <c r="D1007" s="30"/>
      <c r="E1007" s="30"/>
      <c r="F1007" s="30"/>
      <c r="G1007" s="30"/>
      <c r="H1007" s="30"/>
      <c r="I1007" s="30"/>
      <c r="J1007" s="30"/>
      <c r="K1007" s="30"/>
      <c r="L1007" s="30"/>
      <c r="M1007" s="30"/>
      <c r="N1007" s="30"/>
      <c r="R1007" s="240"/>
    </row>
    <row r="1008">
      <c r="A1008" s="30"/>
      <c r="B1008" s="249"/>
      <c r="C1008" s="249"/>
      <c r="D1008" s="30"/>
      <c r="E1008" s="30"/>
      <c r="F1008" s="30"/>
      <c r="G1008" s="30"/>
      <c r="H1008" s="30"/>
      <c r="I1008" s="30"/>
      <c r="J1008" s="30"/>
      <c r="K1008" s="30"/>
      <c r="L1008" s="30"/>
      <c r="M1008" s="30"/>
      <c r="N1008" s="30"/>
      <c r="R1008" s="240"/>
    </row>
    <row r="1009">
      <c r="A1009" s="30"/>
      <c r="B1009" s="249"/>
      <c r="C1009" s="249"/>
      <c r="D1009" s="30"/>
      <c r="E1009" s="30"/>
      <c r="F1009" s="30"/>
      <c r="G1009" s="30"/>
      <c r="H1009" s="30"/>
      <c r="I1009" s="30"/>
      <c r="J1009" s="30"/>
      <c r="K1009" s="30"/>
      <c r="L1009" s="30"/>
      <c r="M1009" s="30"/>
      <c r="N1009" s="30"/>
      <c r="R1009" s="240"/>
    </row>
    <row r="1010">
      <c r="A1010" s="30"/>
      <c r="B1010" s="249"/>
      <c r="C1010" s="249"/>
      <c r="D1010" s="30"/>
      <c r="E1010" s="30"/>
      <c r="F1010" s="30"/>
      <c r="G1010" s="30"/>
      <c r="H1010" s="30"/>
      <c r="I1010" s="30"/>
      <c r="J1010" s="30"/>
      <c r="K1010" s="30"/>
      <c r="L1010" s="30"/>
      <c r="M1010" s="30"/>
      <c r="N1010" s="30"/>
      <c r="R1010" s="240"/>
    </row>
    <row r="1011">
      <c r="A1011" s="30"/>
      <c r="B1011" s="249"/>
      <c r="C1011" s="249"/>
      <c r="D1011" s="30"/>
      <c r="E1011" s="30"/>
      <c r="F1011" s="30"/>
      <c r="G1011" s="30"/>
      <c r="H1011" s="30"/>
      <c r="I1011" s="30"/>
      <c r="J1011" s="30"/>
      <c r="K1011" s="30"/>
      <c r="L1011" s="30"/>
      <c r="M1011" s="30"/>
      <c r="N1011" s="30"/>
      <c r="R1011" s="240"/>
    </row>
    <row r="1012">
      <c r="A1012" s="30"/>
      <c r="B1012" s="249"/>
      <c r="C1012" s="249"/>
      <c r="D1012" s="30"/>
      <c r="E1012" s="30"/>
      <c r="F1012" s="30"/>
      <c r="G1012" s="30"/>
      <c r="H1012" s="30"/>
      <c r="I1012" s="30"/>
      <c r="J1012" s="30"/>
      <c r="K1012" s="30"/>
      <c r="L1012" s="30"/>
      <c r="M1012" s="30"/>
      <c r="N1012" s="30"/>
      <c r="R1012" s="240"/>
    </row>
    <row r="1013">
      <c r="A1013" s="30"/>
      <c r="B1013" s="249"/>
      <c r="C1013" s="249"/>
      <c r="D1013" s="30"/>
      <c r="E1013" s="30"/>
      <c r="F1013" s="30"/>
      <c r="G1013" s="30"/>
      <c r="H1013" s="30"/>
      <c r="I1013" s="30"/>
      <c r="J1013" s="30"/>
      <c r="K1013" s="30"/>
      <c r="L1013" s="30"/>
      <c r="M1013" s="30"/>
      <c r="N1013" s="30"/>
      <c r="R1013" s="240"/>
    </row>
    <row r="1014">
      <c r="A1014" s="30"/>
      <c r="B1014" s="249"/>
      <c r="C1014" s="249"/>
      <c r="D1014" s="30"/>
      <c r="E1014" s="30"/>
      <c r="F1014" s="30"/>
      <c r="G1014" s="30"/>
      <c r="H1014" s="30"/>
      <c r="I1014" s="30"/>
      <c r="J1014" s="30"/>
      <c r="K1014" s="30"/>
      <c r="L1014" s="30"/>
      <c r="M1014" s="30"/>
      <c r="N1014" s="30"/>
      <c r="R1014" s="240"/>
    </row>
    <row r="1015">
      <c r="A1015" s="30"/>
      <c r="B1015" s="249"/>
      <c r="C1015" s="249"/>
      <c r="D1015" s="30"/>
      <c r="E1015" s="30"/>
      <c r="F1015" s="30"/>
      <c r="G1015" s="30"/>
      <c r="H1015" s="30"/>
      <c r="I1015" s="30"/>
      <c r="J1015" s="30"/>
      <c r="K1015" s="30"/>
      <c r="L1015" s="30"/>
      <c r="M1015" s="30"/>
      <c r="N1015" s="30"/>
      <c r="R1015" s="240"/>
    </row>
    <row r="1016">
      <c r="A1016" s="30"/>
      <c r="B1016" s="249"/>
      <c r="C1016" s="249"/>
      <c r="D1016" s="30"/>
      <c r="E1016" s="30"/>
      <c r="F1016" s="30"/>
      <c r="G1016" s="30"/>
      <c r="H1016" s="30"/>
      <c r="I1016" s="30"/>
      <c r="J1016" s="30"/>
      <c r="K1016" s="30"/>
      <c r="L1016" s="30"/>
      <c r="M1016" s="30"/>
      <c r="N1016" s="30"/>
      <c r="R1016" s="240"/>
    </row>
    <row r="1017">
      <c r="A1017" s="30"/>
      <c r="B1017" s="249"/>
      <c r="C1017" s="249"/>
      <c r="D1017" s="30"/>
      <c r="E1017" s="30"/>
      <c r="F1017" s="30"/>
      <c r="G1017" s="30"/>
      <c r="H1017" s="30"/>
      <c r="I1017" s="30"/>
      <c r="J1017" s="30"/>
      <c r="K1017" s="30"/>
      <c r="L1017" s="30"/>
      <c r="M1017" s="30"/>
      <c r="N1017" s="30"/>
      <c r="R1017" s="240"/>
    </row>
    <row r="1018">
      <c r="A1018" s="30"/>
      <c r="B1018" s="249"/>
      <c r="C1018" s="249"/>
      <c r="D1018" s="30"/>
      <c r="E1018" s="30"/>
      <c r="F1018" s="30"/>
      <c r="G1018" s="30"/>
      <c r="H1018" s="30"/>
      <c r="I1018" s="30"/>
      <c r="J1018" s="30"/>
      <c r="K1018" s="30"/>
      <c r="L1018" s="30"/>
      <c r="M1018" s="30"/>
      <c r="N1018" s="30"/>
      <c r="R1018" s="240"/>
    </row>
    <row r="1019">
      <c r="A1019" s="30"/>
      <c r="B1019" s="249"/>
      <c r="C1019" s="249"/>
      <c r="D1019" s="30"/>
      <c r="E1019" s="30"/>
      <c r="F1019" s="30"/>
      <c r="G1019" s="30"/>
      <c r="H1019" s="30"/>
      <c r="I1019" s="30"/>
      <c r="J1019" s="30"/>
      <c r="K1019" s="30"/>
      <c r="L1019" s="30"/>
      <c r="M1019" s="30"/>
      <c r="N1019" s="30"/>
      <c r="R1019" s="240"/>
    </row>
    <row r="1020">
      <c r="A1020" s="30"/>
      <c r="B1020" s="249"/>
      <c r="C1020" s="249"/>
      <c r="D1020" s="30"/>
      <c r="E1020" s="30"/>
      <c r="F1020" s="30"/>
      <c r="G1020" s="30"/>
      <c r="H1020" s="30"/>
      <c r="I1020" s="30"/>
      <c r="J1020" s="30"/>
      <c r="K1020" s="30"/>
      <c r="L1020" s="30"/>
      <c r="M1020" s="30"/>
      <c r="N1020" s="30"/>
      <c r="R1020" s="240"/>
    </row>
    <row r="1021">
      <c r="A1021" s="30"/>
      <c r="B1021" s="249"/>
      <c r="C1021" s="249"/>
      <c r="D1021" s="30"/>
      <c r="E1021" s="30"/>
      <c r="F1021" s="30"/>
      <c r="G1021" s="30"/>
      <c r="H1021" s="30"/>
      <c r="I1021" s="30"/>
      <c r="J1021" s="30"/>
      <c r="K1021" s="30"/>
      <c r="L1021" s="30"/>
      <c r="M1021" s="30"/>
      <c r="N1021" s="30"/>
      <c r="R1021" s="240"/>
    </row>
    <row r="1022">
      <c r="A1022" s="30"/>
      <c r="B1022" s="249"/>
      <c r="C1022" s="249"/>
      <c r="D1022" s="30"/>
      <c r="E1022" s="30"/>
      <c r="F1022" s="30"/>
      <c r="G1022" s="30"/>
      <c r="H1022" s="30"/>
      <c r="I1022" s="30"/>
      <c r="J1022" s="30"/>
      <c r="K1022" s="30"/>
      <c r="L1022" s="30"/>
      <c r="M1022" s="30"/>
      <c r="N1022" s="30"/>
      <c r="R1022" s="240"/>
    </row>
    <row r="1023">
      <c r="A1023" s="30"/>
      <c r="B1023" s="249"/>
      <c r="C1023" s="249"/>
      <c r="D1023" s="30"/>
      <c r="E1023" s="30"/>
      <c r="F1023" s="30"/>
      <c r="G1023" s="30"/>
      <c r="H1023" s="30"/>
      <c r="I1023" s="30"/>
      <c r="J1023" s="30"/>
      <c r="K1023" s="30"/>
      <c r="L1023" s="30"/>
      <c r="M1023" s="30"/>
      <c r="N1023" s="30"/>
      <c r="R1023" s="240"/>
    </row>
    <row r="1024">
      <c r="A1024" s="30"/>
      <c r="B1024" s="249"/>
      <c r="C1024" s="249"/>
      <c r="D1024" s="30"/>
      <c r="E1024" s="30"/>
      <c r="F1024" s="30"/>
      <c r="G1024" s="30"/>
      <c r="H1024" s="30"/>
      <c r="I1024" s="30"/>
      <c r="J1024" s="30"/>
      <c r="K1024" s="30"/>
      <c r="L1024" s="30"/>
      <c r="M1024" s="30"/>
      <c r="N1024" s="30"/>
      <c r="R1024" s="240"/>
    </row>
    <row r="1025">
      <c r="A1025" s="30"/>
      <c r="B1025" s="249"/>
      <c r="C1025" s="249"/>
      <c r="D1025" s="30"/>
      <c r="E1025" s="30"/>
      <c r="F1025" s="30"/>
      <c r="G1025" s="30"/>
      <c r="H1025" s="30"/>
      <c r="I1025" s="30"/>
      <c r="J1025" s="30"/>
      <c r="K1025" s="30"/>
      <c r="L1025" s="30"/>
      <c r="M1025" s="30"/>
      <c r="N1025" s="30"/>
      <c r="R1025" s="240"/>
    </row>
    <row r="1026">
      <c r="A1026" s="30"/>
      <c r="B1026" s="249"/>
      <c r="C1026" s="249"/>
      <c r="D1026" s="30"/>
      <c r="E1026" s="30"/>
      <c r="F1026" s="30"/>
      <c r="G1026" s="30"/>
      <c r="H1026" s="30"/>
      <c r="I1026" s="30"/>
      <c r="J1026" s="30"/>
      <c r="K1026" s="30"/>
      <c r="L1026" s="30"/>
      <c r="M1026" s="30"/>
      <c r="N1026" s="30"/>
      <c r="R1026" s="240"/>
    </row>
    <row r="1027">
      <c r="A1027" s="30"/>
      <c r="B1027" s="249"/>
      <c r="C1027" s="249"/>
      <c r="D1027" s="30"/>
      <c r="E1027" s="30"/>
      <c r="F1027" s="30"/>
      <c r="G1027" s="30"/>
      <c r="H1027" s="30"/>
      <c r="I1027" s="30"/>
      <c r="J1027" s="30"/>
      <c r="K1027" s="30"/>
      <c r="L1027" s="30"/>
      <c r="M1027" s="30"/>
      <c r="N1027" s="30"/>
      <c r="R1027" s="240"/>
    </row>
    <row r="1028">
      <c r="A1028" s="30"/>
      <c r="B1028" s="249"/>
      <c r="C1028" s="249"/>
      <c r="D1028" s="30"/>
      <c r="E1028" s="30"/>
      <c r="F1028" s="30"/>
      <c r="G1028" s="30"/>
      <c r="H1028" s="30"/>
      <c r="I1028" s="30"/>
      <c r="J1028" s="30"/>
      <c r="K1028" s="30"/>
      <c r="L1028" s="30"/>
      <c r="M1028" s="30"/>
      <c r="N1028" s="30"/>
      <c r="R1028" s="240"/>
    </row>
    <row r="1029">
      <c r="A1029" s="30"/>
      <c r="B1029" s="249"/>
      <c r="C1029" s="249"/>
      <c r="D1029" s="30"/>
      <c r="E1029" s="30"/>
      <c r="F1029" s="30"/>
      <c r="G1029" s="30"/>
      <c r="H1029" s="30"/>
      <c r="I1029" s="30"/>
      <c r="J1029" s="30"/>
      <c r="K1029" s="30"/>
      <c r="L1029" s="30"/>
      <c r="M1029" s="30"/>
      <c r="N1029" s="30"/>
      <c r="R1029" s="240"/>
    </row>
    <row r="1030">
      <c r="A1030" s="30"/>
      <c r="B1030" s="249"/>
      <c r="C1030" s="249"/>
      <c r="D1030" s="30"/>
      <c r="E1030" s="30"/>
      <c r="F1030" s="30"/>
      <c r="G1030" s="30"/>
      <c r="H1030" s="30"/>
      <c r="I1030" s="30"/>
      <c r="J1030" s="30"/>
      <c r="K1030" s="30"/>
      <c r="L1030" s="30"/>
      <c r="M1030" s="30"/>
      <c r="N1030" s="30"/>
      <c r="R1030" s="240"/>
    </row>
    <row r="1031">
      <c r="A1031" s="30"/>
      <c r="B1031" s="249"/>
      <c r="C1031" s="249"/>
      <c r="D1031" s="30"/>
      <c r="E1031" s="30"/>
      <c r="F1031" s="30"/>
      <c r="G1031" s="30"/>
      <c r="H1031" s="30"/>
      <c r="I1031" s="30"/>
      <c r="J1031" s="30"/>
      <c r="K1031" s="30"/>
      <c r="L1031" s="30"/>
      <c r="M1031" s="30"/>
      <c r="N1031" s="30"/>
      <c r="R1031" s="240"/>
    </row>
    <row r="1032">
      <c r="A1032" s="30"/>
      <c r="B1032" s="249"/>
      <c r="C1032" s="249"/>
      <c r="D1032" s="30"/>
      <c r="E1032" s="30"/>
      <c r="F1032" s="30"/>
      <c r="G1032" s="30"/>
      <c r="H1032" s="30"/>
      <c r="I1032" s="30"/>
      <c r="J1032" s="30"/>
      <c r="K1032" s="30"/>
      <c r="L1032" s="30"/>
      <c r="M1032" s="30"/>
      <c r="N1032" s="30"/>
      <c r="R1032" s="240"/>
    </row>
    <row r="1033">
      <c r="A1033" s="30"/>
      <c r="B1033" s="249"/>
      <c r="C1033" s="249"/>
      <c r="D1033" s="30"/>
      <c r="E1033" s="30"/>
      <c r="F1033" s="30"/>
      <c r="G1033" s="30"/>
      <c r="H1033" s="30"/>
      <c r="I1033" s="30"/>
      <c r="J1033" s="30"/>
      <c r="K1033" s="30"/>
      <c r="L1033" s="30"/>
      <c r="M1033" s="30"/>
      <c r="N1033" s="30"/>
      <c r="R1033" s="240"/>
    </row>
    <row r="1034">
      <c r="A1034" s="30"/>
      <c r="B1034" s="249"/>
      <c r="C1034" s="249"/>
      <c r="D1034" s="30"/>
      <c r="E1034" s="30"/>
      <c r="F1034" s="30"/>
      <c r="G1034" s="30"/>
      <c r="H1034" s="30"/>
      <c r="I1034" s="30"/>
      <c r="J1034" s="30"/>
      <c r="K1034" s="30"/>
      <c r="L1034" s="30"/>
      <c r="M1034" s="30"/>
      <c r="N1034" s="30"/>
      <c r="R1034" s="240"/>
    </row>
    <row r="1035">
      <c r="A1035" s="30"/>
      <c r="B1035" s="249"/>
      <c r="C1035" s="249"/>
      <c r="D1035" s="30"/>
      <c r="E1035" s="30"/>
      <c r="F1035" s="30"/>
      <c r="G1035" s="30"/>
      <c r="H1035" s="30"/>
      <c r="I1035" s="30"/>
      <c r="J1035" s="30"/>
      <c r="K1035" s="30"/>
      <c r="L1035" s="30"/>
      <c r="M1035" s="30"/>
      <c r="N1035" s="30"/>
      <c r="R1035" s="240"/>
    </row>
    <row r="1036">
      <c r="A1036" s="30"/>
      <c r="B1036" s="249"/>
      <c r="C1036" s="249"/>
      <c r="D1036" s="30"/>
      <c r="E1036" s="30"/>
      <c r="F1036" s="30"/>
      <c r="G1036" s="30"/>
      <c r="H1036" s="30"/>
      <c r="I1036" s="30"/>
      <c r="J1036" s="30"/>
      <c r="K1036" s="30"/>
      <c r="L1036" s="30"/>
      <c r="M1036" s="30"/>
      <c r="N1036" s="30"/>
      <c r="R1036" s="240"/>
    </row>
    <row r="1037">
      <c r="A1037" s="30"/>
      <c r="B1037" s="249"/>
      <c r="C1037" s="249"/>
      <c r="D1037" s="30"/>
      <c r="E1037" s="30"/>
      <c r="F1037" s="30"/>
      <c r="G1037" s="30"/>
      <c r="H1037" s="30"/>
      <c r="I1037" s="30"/>
      <c r="J1037" s="30"/>
      <c r="K1037" s="30"/>
      <c r="L1037" s="30"/>
      <c r="M1037" s="30"/>
      <c r="N1037" s="30"/>
      <c r="R1037" s="240"/>
    </row>
    <row r="1038">
      <c r="A1038" s="30"/>
      <c r="B1038" s="249"/>
      <c r="C1038" s="249"/>
      <c r="D1038" s="30"/>
      <c r="E1038" s="30"/>
      <c r="F1038" s="30"/>
      <c r="G1038" s="30"/>
      <c r="H1038" s="30"/>
      <c r="I1038" s="30"/>
      <c r="J1038" s="30"/>
      <c r="K1038" s="30"/>
      <c r="L1038" s="30"/>
      <c r="M1038" s="30"/>
      <c r="N1038" s="30"/>
      <c r="R1038" s="240"/>
    </row>
    <row r="1039">
      <c r="A1039" s="30"/>
      <c r="B1039" s="249"/>
      <c r="C1039" s="249"/>
      <c r="D1039" s="30"/>
      <c r="E1039" s="30"/>
      <c r="F1039" s="30"/>
      <c r="G1039" s="30"/>
      <c r="H1039" s="30"/>
      <c r="I1039" s="30"/>
      <c r="J1039" s="30"/>
      <c r="K1039" s="30"/>
      <c r="L1039" s="30"/>
      <c r="M1039" s="30"/>
      <c r="N1039" s="30"/>
      <c r="R1039" s="240"/>
    </row>
    <row r="1040">
      <c r="A1040" s="30"/>
      <c r="B1040" s="249"/>
      <c r="C1040" s="249"/>
      <c r="D1040" s="30"/>
      <c r="E1040" s="30"/>
      <c r="F1040" s="30"/>
      <c r="G1040" s="30"/>
      <c r="H1040" s="30"/>
      <c r="I1040" s="30"/>
      <c r="J1040" s="30"/>
      <c r="K1040" s="30"/>
      <c r="L1040" s="30"/>
      <c r="M1040" s="30"/>
      <c r="N1040" s="30"/>
      <c r="R1040" s="240"/>
    </row>
    <row r="1041">
      <c r="A1041" s="30"/>
      <c r="B1041" s="249"/>
      <c r="C1041" s="249"/>
      <c r="D1041" s="30"/>
      <c r="E1041" s="30"/>
      <c r="F1041" s="30"/>
      <c r="G1041" s="30"/>
      <c r="H1041" s="30"/>
      <c r="I1041" s="30"/>
      <c r="J1041" s="30"/>
      <c r="K1041" s="30"/>
      <c r="L1041" s="30"/>
      <c r="M1041" s="30"/>
      <c r="N1041" s="30"/>
      <c r="R1041" s="240"/>
    </row>
    <row r="1042">
      <c r="A1042" s="30"/>
      <c r="B1042" s="249"/>
      <c r="C1042" s="249"/>
      <c r="D1042" s="30"/>
      <c r="E1042" s="30"/>
      <c r="F1042" s="30"/>
      <c r="G1042" s="30"/>
      <c r="H1042" s="30"/>
      <c r="I1042" s="30"/>
      <c r="J1042" s="30"/>
      <c r="K1042" s="30"/>
      <c r="L1042" s="30"/>
      <c r="M1042" s="30"/>
      <c r="N1042" s="30"/>
      <c r="R1042" s="240"/>
    </row>
    <row r="1043">
      <c r="A1043" s="30"/>
      <c r="B1043" s="249"/>
      <c r="C1043" s="249"/>
      <c r="D1043" s="30"/>
      <c r="E1043" s="30"/>
      <c r="F1043" s="30"/>
      <c r="G1043" s="30"/>
      <c r="H1043" s="30"/>
      <c r="I1043" s="30"/>
      <c r="J1043" s="30"/>
      <c r="K1043" s="30"/>
      <c r="L1043" s="30"/>
      <c r="M1043" s="30"/>
      <c r="N1043" s="30"/>
      <c r="R1043" s="240"/>
    </row>
    <row r="1044">
      <c r="A1044" s="30"/>
      <c r="B1044" s="249"/>
      <c r="C1044" s="249"/>
      <c r="D1044" s="30"/>
      <c r="E1044" s="30"/>
      <c r="F1044" s="30"/>
      <c r="G1044" s="30"/>
      <c r="H1044" s="30"/>
      <c r="I1044" s="30"/>
      <c r="J1044" s="30"/>
      <c r="K1044" s="30"/>
      <c r="L1044" s="30"/>
      <c r="M1044" s="30"/>
      <c r="N1044" s="30"/>
      <c r="R1044" s="240"/>
    </row>
    <row r="1045">
      <c r="A1045" s="30"/>
      <c r="B1045" s="249"/>
      <c r="C1045" s="249"/>
      <c r="D1045" s="30"/>
      <c r="E1045" s="30"/>
      <c r="F1045" s="30"/>
      <c r="G1045" s="30"/>
      <c r="H1045" s="30"/>
      <c r="I1045" s="30"/>
      <c r="J1045" s="30"/>
      <c r="K1045" s="30"/>
      <c r="L1045" s="30"/>
      <c r="M1045" s="30"/>
      <c r="N1045" s="30"/>
      <c r="R1045" s="240"/>
    </row>
    <row r="1046">
      <c r="A1046" s="30"/>
      <c r="B1046" s="249"/>
      <c r="C1046" s="249"/>
      <c r="D1046" s="30"/>
      <c r="E1046" s="30"/>
      <c r="F1046" s="30"/>
      <c r="G1046" s="30"/>
      <c r="H1046" s="30"/>
      <c r="I1046" s="30"/>
      <c r="J1046" s="30"/>
      <c r="K1046" s="30"/>
      <c r="L1046" s="30"/>
      <c r="M1046" s="30"/>
      <c r="N1046" s="30"/>
      <c r="R1046" s="240"/>
    </row>
    <row r="1047">
      <c r="A1047" s="30"/>
      <c r="B1047" s="249"/>
      <c r="C1047" s="249"/>
      <c r="D1047" s="30"/>
      <c r="E1047" s="30"/>
      <c r="F1047" s="30"/>
      <c r="G1047" s="30"/>
      <c r="H1047" s="30"/>
      <c r="I1047" s="30"/>
      <c r="J1047" s="30"/>
      <c r="K1047" s="30"/>
      <c r="L1047" s="30"/>
      <c r="M1047" s="30"/>
      <c r="N1047" s="30"/>
      <c r="R1047" s="240"/>
    </row>
    <row r="1048">
      <c r="A1048" s="30"/>
      <c r="B1048" s="249"/>
      <c r="C1048" s="249"/>
      <c r="D1048" s="30"/>
      <c r="E1048" s="30"/>
      <c r="F1048" s="30"/>
      <c r="G1048" s="30"/>
      <c r="H1048" s="30"/>
      <c r="I1048" s="30"/>
      <c r="J1048" s="30"/>
      <c r="K1048" s="30"/>
      <c r="L1048" s="30"/>
      <c r="M1048" s="30"/>
      <c r="N1048" s="30"/>
      <c r="R1048" s="240"/>
    </row>
    <row r="1049">
      <c r="A1049" s="30"/>
      <c r="B1049" s="249"/>
      <c r="C1049" s="249"/>
      <c r="D1049" s="30"/>
      <c r="E1049" s="30"/>
      <c r="F1049" s="30"/>
      <c r="G1049" s="30"/>
      <c r="H1049" s="30"/>
      <c r="I1049" s="30"/>
      <c r="J1049" s="30"/>
      <c r="K1049" s="30"/>
      <c r="L1049" s="30"/>
      <c r="M1049" s="30"/>
      <c r="N1049" s="30"/>
      <c r="R1049" s="240"/>
    </row>
    <row r="1050">
      <c r="A1050" s="30"/>
      <c r="B1050" s="249"/>
      <c r="C1050" s="249"/>
      <c r="D1050" s="30"/>
      <c r="E1050" s="30"/>
      <c r="F1050" s="30"/>
      <c r="G1050" s="30"/>
      <c r="H1050" s="30"/>
      <c r="I1050" s="30"/>
      <c r="J1050" s="30"/>
      <c r="K1050" s="30"/>
      <c r="L1050" s="30"/>
      <c r="M1050" s="30"/>
      <c r="N1050" s="30"/>
      <c r="R1050" s="240"/>
    </row>
    <row r="1051">
      <c r="A1051" s="30"/>
      <c r="B1051" s="249"/>
      <c r="C1051" s="249"/>
      <c r="D1051" s="30"/>
      <c r="E1051" s="30"/>
      <c r="F1051" s="30"/>
      <c r="G1051" s="30"/>
      <c r="H1051" s="30"/>
      <c r="I1051" s="30"/>
      <c r="J1051" s="30"/>
      <c r="K1051" s="30"/>
      <c r="L1051" s="30"/>
      <c r="M1051" s="30"/>
      <c r="N1051" s="30"/>
      <c r="R1051" s="240"/>
    </row>
    <row r="1052">
      <c r="A1052" s="30"/>
      <c r="B1052" s="249"/>
      <c r="C1052" s="249"/>
      <c r="D1052" s="30"/>
      <c r="E1052" s="30"/>
      <c r="F1052" s="30"/>
      <c r="G1052" s="30"/>
      <c r="H1052" s="30"/>
      <c r="I1052" s="30"/>
      <c r="J1052" s="30"/>
      <c r="K1052" s="30"/>
      <c r="L1052" s="30"/>
      <c r="M1052" s="30"/>
      <c r="N1052" s="30"/>
      <c r="R1052" s="240"/>
    </row>
    <row r="1053">
      <c r="A1053" s="30"/>
      <c r="B1053" s="249"/>
      <c r="C1053" s="249"/>
      <c r="D1053" s="30"/>
      <c r="E1053" s="30"/>
      <c r="F1053" s="30"/>
      <c r="G1053" s="30"/>
      <c r="H1053" s="30"/>
      <c r="I1053" s="30"/>
      <c r="J1053" s="30"/>
      <c r="K1053" s="30"/>
      <c r="L1053" s="30"/>
      <c r="M1053" s="30"/>
      <c r="N1053" s="30"/>
      <c r="R1053" s="240"/>
    </row>
    <row r="1054">
      <c r="A1054" s="30"/>
      <c r="B1054" s="249"/>
      <c r="C1054" s="249"/>
      <c r="D1054" s="30"/>
      <c r="E1054" s="30"/>
      <c r="F1054" s="30"/>
      <c r="G1054" s="30"/>
      <c r="H1054" s="30"/>
      <c r="I1054" s="30"/>
      <c r="J1054" s="30"/>
      <c r="K1054" s="30"/>
      <c r="L1054" s="30"/>
      <c r="M1054" s="30"/>
      <c r="N1054" s="30"/>
      <c r="R1054" s="240"/>
    </row>
    <row r="1055">
      <c r="A1055" s="30"/>
      <c r="B1055" s="249"/>
      <c r="C1055" s="249"/>
      <c r="D1055" s="30"/>
      <c r="E1055" s="30"/>
      <c r="F1055" s="30"/>
      <c r="G1055" s="30"/>
      <c r="H1055" s="30"/>
      <c r="I1055" s="30"/>
      <c r="J1055" s="30"/>
      <c r="K1055" s="30"/>
      <c r="L1055" s="30"/>
      <c r="M1055" s="30"/>
      <c r="N1055" s="30"/>
      <c r="R1055" s="240"/>
    </row>
    <row r="1056">
      <c r="A1056" s="30"/>
      <c r="B1056" s="249"/>
      <c r="C1056" s="249"/>
      <c r="D1056" s="30"/>
      <c r="E1056" s="30"/>
      <c r="F1056" s="30"/>
      <c r="G1056" s="30"/>
      <c r="H1056" s="30"/>
      <c r="I1056" s="30"/>
      <c r="J1056" s="30"/>
      <c r="K1056" s="30"/>
      <c r="L1056" s="30"/>
      <c r="M1056" s="30"/>
      <c r="N1056" s="30"/>
      <c r="R1056" s="240"/>
    </row>
    <row r="1057">
      <c r="A1057" s="30"/>
      <c r="B1057" s="249"/>
      <c r="C1057" s="249"/>
      <c r="D1057" s="30"/>
      <c r="E1057" s="30"/>
      <c r="F1057" s="30"/>
      <c r="G1057" s="30"/>
      <c r="H1057" s="30"/>
      <c r="I1057" s="30"/>
      <c r="J1057" s="30"/>
      <c r="K1057" s="30"/>
      <c r="L1057" s="30"/>
      <c r="M1057" s="30"/>
      <c r="N1057" s="30"/>
      <c r="R1057" s="240"/>
    </row>
    <row r="1058">
      <c r="A1058" s="30"/>
      <c r="B1058" s="249"/>
      <c r="C1058" s="249"/>
      <c r="D1058" s="30"/>
      <c r="E1058" s="30"/>
      <c r="F1058" s="30"/>
      <c r="G1058" s="30"/>
      <c r="H1058" s="30"/>
      <c r="I1058" s="30"/>
      <c r="J1058" s="30"/>
      <c r="K1058" s="30"/>
      <c r="L1058" s="30"/>
      <c r="M1058" s="30"/>
      <c r="N1058" s="30"/>
      <c r="R1058" s="240"/>
    </row>
    <row r="1059">
      <c r="A1059" s="30"/>
      <c r="B1059" s="249"/>
      <c r="C1059" s="249"/>
      <c r="D1059" s="30"/>
      <c r="E1059" s="30"/>
      <c r="F1059" s="30"/>
      <c r="G1059" s="30"/>
      <c r="H1059" s="30"/>
      <c r="I1059" s="30"/>
      <c r="J1059" s="30"/>
      <c r="K1059" s="30"/>
      <c r="L1059" s="30"/>
      <c r="M1059" s="30"/>
      <c r="N1059" s="30"/>
      <c r="R1059" s="240"/>
    </row>
    <row r="1060">
      <c r="A1060" s="30"/>
      <c r="B1060" s="249"/>
      <c r="C1060" s="249"/>
      <c r="D1060" s="30"/>
      <c r="E1060" s="30"/>
      <c r="F1060" s="30"/>
      <c r="G1060" s="30"/>
      <c r="H1060" s="30"/>
      <c r="I1060" s="30"/>
      <c r="J1060" s="30"/>
      <c r="K1060" s="30"/>
      <c r="L1060" s="30"/>
      <c r="M1060" s="30"/>
      <c r="N1060" s="30"/>
      <c r="R1060" s="240"/>
    </row>
    <row r="1061">
      <c r="A1061" s="30"/>
      <c r="B1061" s="249"/>
      <c r="C1061" s="249"/>
      <c r="D1061" s="30"/>
      <c r="E1061" s="30"/>
      <c r="F1061" s="30"/>
      <c r="G1061" s="30"/>
      <c r="H1061" s="30"/>
      <c r="I1061" s="30"/>
      <c r="J1061" s="30"/>
      <c r="K1061" s="30"/>
      <c r="L1061" s="30"/>
      <c r="M1061" s="30"/>
      <c r="N1061" s="30"/>
      <c r="R1061" s="240"/>
    </row>
    <row r="1062">
      <c r="A1062" s="30"/>
      <c r="B1062" s="249"/>
      <c r="C1062" s="249"/>
      <c r="D1062" s="30"/>
      <c r="E1062" s="30"/>
      <c r="F1062" s="30"/>
      <c r="G1062" s="30"/>
      <c r="H1062" s="30"/>
      <c r="I1062" s="30"/>
      <c r="J1062" s="30"/>
      <c r="K1062" s="30"/>
      <c r="L1062" s="30"/>
      <c r="M1062" s="30"/>
      <c r="N1062" s="30"/>
      <c r="R1062" s="240"/>
    </row>
    <row r="1063">
      <c r="A1063" s="30"/>
      <c r="B1063" s="249"/>
      <c r="C1063" s="249"/>
      <c r="D1063" s="30"/>
      <c r="E1063" s="30"/>
      <c r="F1063" s="30"/>
      <c r="G1063" s="30"/>
      <c r="H1063" s="30"/>
      <c r="I1063" s="30"/>
      <c r="J1063" s="30"/>
      <c r="K1063" s="30"/>
      <c r="L1063" s="30"/>
      <c r="M1063" s="30"/>
      <c r="N1063" s="30"/>
      <c r="R1063" s="240"/>
    </row>
    <row r="1064">
      <c r="A1064" s="30"/>
      <c r="B1064" s="249"/>
      <c r="C1064" s="249"/>
      <c r="D1064" s="30"/>
      <c r="E1064" s="30"/>
      <c r="F1064" s="30"/>
      <c r="G1064" s="30"/>
      <c r="H1064" s="30"/>
      <c r="I1064" s="30"/>
      <c r="J1064" s="30"/>
      <c r="K1064" s="30"/>
      <c r="L1064" s="30"/>
      <c r="M1064" s="30"/>
      <c r="N1064" s="30"/>
      <c r="R1064" s="240"/>
    </row>
    <row r="1065">
      <c r="A1065" s="30"/>
      <c r="B1065" s="249"/>
      <c r="C1065" s="249"/>
      <c r="D1065" s="30"/>
      <c r="E1065" s="30"/>
      <c r="F1065" s="30"/>
      <c r="G1065" s="30"/>
      <c r="H1065" s="30"/>
      <c r="I1065" s="30"/>
      <c r="J1065" s="30"/>
      <c r="K1065" s="30"/>
      <c r="L1065" s="30"/>
      <c r="M1065" s="30"/>
      <c r="N1065" s="30"/>
      <c r="R1065" s="240"/>
    </row>
    <row r="1066">
      <c r="A1066" s="30"/>
      <c r="B1066" s="249"/>
      <c r="C1066" s="249"/>
      <c r="D1066" s="30"/>
      <c r="E1066" s="30"/>
      <c r="F1066" s="30"/>
      <c r="G1066" s="30"/>
      <c r="H1066" s="30"/>
      <c r="I1066" s="30"/>
      <c r="J1066" s="30"/>
      <c r="K1066" s="30"/>
      <c r="L1066" s="30"/>
      <c r="M1066" s="30"/>
      <c r="N1066" s="30"/>
      <c r="R1066" s="240"/>
    </row>
    <row r="1067">
      <c r="A1067" s="30"/>
      <c r="B1067" s="249"/>
      <c r="C1067" s="249"/>
      <c r="D1067" s="30"/>
      <c r="E1067" s="30"/>
      <c r="F1067" s="30"/>
      <c r="G1067" s="30"/>
      <c r="H1067" s="30"/>
      <c r="I1067" s="30"/>
      <c r="J1067" s="30"/>
      <c r="K1067" s="30"/>
      <c r="L1067" s="30"/>
      <c r="M1067" s="30"/>
      <c r="N1067" s="30"/>
      <c r="R1067" s="240"/>
    </row>
    <row r="1068">
      <c r="A1068" s="30"/>
      <c r="B1068" s="249"/>
      <c r="C1068" s="249"/>
      <c r="D1068" s="30"/>
      <c r="E1068" s="30"/>
      <c r="F1068" s="30"/>
      <c r="G1068" s="30"/>
      <c r="H1068" s="30"/>
      <c r="I1068" s="30"/>
      <c r="J1068" s="30"/>
      <c r="K1068" s="30"/>
      <c r="L1068" s="30"/>
      <c r="M1068" s="30"/>
      <c r="N1068" s="30"/>
      <c r="R1068" s="240"/>
    </row>
    <row r="1069">
      <c r="A1069" s="186" t="s">
        <v>249</v>
      </c>
      <c r="B1069" s="187" t="s">
        <v>250</v>
      </c>
      <c r="C1069" s="187"/>
      <c r="D1069" s="189" t="s">
        <v>249</v>
      </c>
      <c r="E1069" s="186" t="s">
        <v>251</v>
      </c>
      <c r="G1069" s="30"/>
      <c r="H1069" s="30"/>
      <c r="I1069" s="30"/>
      <c r="J1069" s="30"/>
      <c r="K1069" s="30"/>
      <c r="L1069" s="30"/>
      <c r="M1069" s="30"/>
      <c r="N1069" s="30"/>
      <c r="R1069" s="240"/>
    </row>
    <row r="1070">
      <c r="A1070" s="94">
        <v>1.0</v>
      </c>
      <c r="B1070" s="190" t="s">
        <v>254</v>
      </c>
      <c r="C1070" s="190" t="s">
        <v>255</v>
      </c>
      <c r="D1070" s="94" t="s">
        <v>159</v>
      </c>
      <c r="E1070" s="198" t="s">
        <v>162</v>
      </c>
      <c r="G1070" s="30"/>
      <c r="H1070" s="30"/>
      <c r="I1070" s="30"/>
      <c r="J1070" s="30"/>
      <c r="K1070" s="30"/>
      <c r="L1070" s="30"/>
      <c r="M1070" s="30"/>
      <c r="N1070" s="30"/>
      <c r="R1070" s="240"/>
    </row>
    <row r="1071">
      <c r="B1071" s="190" t="s">
        <v>257</v>
      </c>
      <c r="C1071" s="190" t="s">
        <v>258</v>
      </c>
      <c r="G1071" s="30"/>
      <c r="H1071" s="30"/>
      <c r="I1071" s="30"/>
      <c r="J1071" s="30"/>
      <c r="K1071" s="30"/>
      <c r="L1071" s="30"/>
      <c r="M1071" s="30"/>
      <c r="N1071" s="30"/>
      <c r="R1071" s="240"/>
    </row>
    <row r="1072">
      <c r="B1072" s="195" t="s">
        <v>261</v>
      </c>
      <c r="C1072" s="195" t="s">
        <v>262</v>
      </c>
      <c r="G1072" s="30"/>
      <c r="H1072" s="30"/>
      <c r="I1072" s="30"/>
      <c r="J1072" s="30"/>
      <c r="K1072" s="30"/>
      <c r="L1072" s="30"/>
      <c r="M1072" s="30"/>
      <c r="N1072" s="30"/>
      <c r="R1072" s="240"/>
    </row>
    <row r="1073">
      <c r="A1073" s="107">
        <v>2.0</v>
      </c>
      <c r="B1073" s="196" t="s">
        <v>264</v>
      </c>
      <c r="C1073" s="196" t="s">
        <v>265</v>
      </c>
      <c r="D1073" s="107" t="s">
        <v>263</v>
      </c>
      <c r="E1073" s="198" t="s">
        <v>167</v>
      </c>
      <c r="G1073" s="30"/>
      <c r="H1073" s="30"/>
      <c r="I1073" s="30"/>
      <c r="J1073" s="30"/>
      <c r="K1073" s="30"/>
      <c r="L1073" s="30"/>
      <c r="M1073" s="30"/>
      <c r="N1073" s="30"/>
      <c r="R1073" s="240"/>
    </row>
    <row r="1074">
      <c r="B1074" s="196" t="s">
        <v>266</v>
      </c>
      <c r="C1074" s="196" t="s">
        <v>267</v>
      </c>
      <c r="G1074" s="30"/>
      <c r="H1074" s="30"/>
      <c r="I1074" s="30"/>
      <c r="J1074" s="30"/>
      <c r="K1074" s="30"/>
      <c r="L1074" s="30"/>
      <c r="M1074" s="30"/>
      <c r="N1074" s="30"/>
      <c r="R1074" s="240"/>
    </row>
    <row r="1075">
      <c r="B1075" s="196" t="s">
        <v>268</v>
      </c>
      <c r="C1075" s="196" t="s">
        <v>269</v>
      </c>
      <c r="G1075" s="30"/>
      <c r="H1075" s="30"/>
      <c r="I1075" s="30"/>
      <c r="J1075" s="30"/>
      <c r="K1075" s="30"/>
      <c r="L1075" s="30"/>
      <c r="M1075" s="30"/>
      <c r="N1075" s="30"/>
      <c r="R1075" s="240"/>
    </row>
    <row r="1076">
      <c r="A1076" s="94">
        <v>3.0</v>
      </c>
      <c r="B1076" s="195" t="s">
        <v>270</v>
      </c>
      <c r="C1076" s="195" t="s">
        <v>271</v>
      </c>
      <c r="D1076" s="94" t="s">
        <v>263</v>
      </c>
      <c r="E1076" s="198" t="s">
        <v>167</v>
      </c>
      <c r="G1076" s="30"/>
      <c r="H1076" s="30"/>
      <c r="I1076" s="30"/>
      <c r="J1076" s="30"/>
      <c r="K1076" s="30"/>
      <c r="L1076" s="30"/>
      <c r="M1076" s="30"/>
      <c r="N1076" s="30"/>
      <c r="R1076" s="240"/>
    </row>
    <row r="1077">
      <c r="B1077" s="195" t="s">
        <v>257</v>
      </c>
      <c r="C1077" s="195" t="s">
        <v>272</v>
      </c>
      <c r="G1077" s="30"/>
      <c r="H1077" s="30"/>
      <c r="I1077" s="30"/>
      <c r="J1077" s="30"/>
      <c r="K1077" s="30"/>
      <c r="L1077" s="30"/>
      <c r="M1077" s="30"/>
      <c r="N1077" s="30"/>
      <c r="R1077" s="240"/>
    </row>
    <row r="1078">
      <c r="B1078" s="195" t="s">
        <v>274</v>
      </c>
      <c r="C1078" s="195" t="s">
        <v>275</v>
      </c>
      <c r="G1078" s="30"/>
      <c r="H1078" s="30"/>
      <c r="I1078" s="30"/>
      <c r="J1078" s="30"/>
      <c r="K1078" s="30"/>
      <c r="L1078" s="30"/>
      <c r="M1078" s="30"/>
      <c r="N1078" s="30"/>
      <c r="R1078" s="240"/>
    </row>
    <row r="1079">
      <c r="A1079" s="136">
        <v>4.0</v>
      </c>
      <c r="B1079" s="196" t="s">
        <v>276</v>
      </c>
      <c r="C1079" s="196" t="s">
        <v>277</v>
      </c>
      <c r="D1079" s="107" t="s">
        <v>263</v>
      </c>
      <c r="E1079" s="198" t="s">
        <v>176</v>
      </c>
      <c r="G1079" s="30"/>
      <c r="H1079" s="30"/>
      <c r="I1079" s="30"/>
      <c r="J1079" s="30"/>
      <c r="K1079" s="30"/>
      <c r="L1079" s="30"/>
      <c r="M1079" s="30"/>
      <c r="N1079" s="30"/>
      <c r="R1079" s="240"/>
    </row>
    <row r="1080">
      <c r="B1080" s="196" t="s">
        <v>100</v>
      </c>
      <c r="C1080" s="196" t="s">
        <v>283</v>
      </c>
      <c r="G1080" s="30"/>
      <c r="H1080" s="30"/>
      <c r="I1080" s="30"/>
      <c r="J1080" s="30"/>
      <c r="K1080" s="30"/>
      <c r="L1080" s="30"/>
      <c r="M1080" s="30"/>
      <c r="N1080" s="30"/>
      <c r="R1080" s="240"/>
    </row>
    <row r="1081">
      <c r="B1081" s="196" t="s">
        <v>264</v>
      </c>
      <c r="C1081" s="196" t="s">
        <v>284</v>
      </c>
      <c r="G1081" s="30"/>
      <c r="H1081" s="30"/>
      <c r="I1081" s="30"/>
      <c r="J1081" s="30"/>
      <c r="K1081" s="30"/>
      <c r="L1081" s="30"/>
      <c r="M1081" s="30"/>
      <c r="N1081" s="30"/>
      <c r="R1081" s="240"/>
    </row>
    <row r="1082">
      <c r="A1082" s="143">
        <v>5.0</v>
      </c>
      <c r="B1082" s="195" t="s">
        <v>285</v>
      </c>
      <c r="C1082" s="195" t="s">
        <v>286</v>
      </c>
      <c r="D1082" s="94" t="s">
        <v>263</v>
      </c>
      <c r="E1082" s="198" t="s">
        <v>174</v>
      </c>
      <c r="G1082" s="30"/>
      <c r="H1082" s="30"/>
      <c r="I1082" s="30"/>
      <c r="J1082" s="30"/>
      <c r="K1082" s="30"/>
      <c r="L1082" s="30"/>
      <c r="M1082" s="30"/>
      <c r="N1082" s="30"/>
      <c r="R1082" s="240"/>
    </row>
    <row r="1083">
      <c r="B1083" s="195" t="s">
        <v>287</v>
      </c>
      <c r="C1083" s="195" t="s">
        <v>288</v>
      </c>
      <c r="G1083" s="30"/>
      <c r="H1083" s="30"/>
      <c r="I1083" s="30"/>
      <c r="J1083" s="30"/>
      <c r="K1083" s="30"/>
      <c r="L1083" s="30"/>
      <c r="M1083" s="30"/>
      <c r="N1083" s="30"/>
      <c r="R1083" s="240"/>
    </row>
    <row r="1084">
      <c r="B1084" s="195" t="s">
        <v>289</v>
      </c>
      <c r="C1084" s="195" t="s">
        <v>290</v>
      </c>
      <c r="G1084" s="30"/>
      <c r="H1084" s="30"/>
      <c r="I1084" s="30"/>
      <c r="J1084" s="30"/>
      <c r="K1084" s="30"/>
      <c r="L1084" s="30"/>
      <c r="M1084" s="30"/>
      <c r="N1084" s="30"/>
      <c r="R1084" s="240"/>
    </row>
    <row r="1085">
      <c r="A1085" s="107">
        <v>6.0</v>
      </c>
      <c r="B1085" s="196" t="s">
        <v>291</v>
      </c>
      <c r="C1085" s="196" t="s">
        <v>292</v>
      </c>
      <c r="D1085" s="107" t="s">
        <v>263</v>
      </c>
      <c r="E1085" s="198" t="s">
        <v>167</v>
      </c>
      <c r="G1085" s="30"/>
      <c r="H1085" s="30"/>
      <c r="I1085" s="30"/>
      <c r="J1085" s="30"/>
      <c r="K1085" s="30"/>
      <c r="L1085" s="30"/>
      <c r="M1085" s="30"/>
      <c r="N1085" s="30"/>
      <c r="R1085" s="240"/>
    </row>
    <row r="1086">
      <c r="B1086" s="196" t="s">
        <v>293</v>
      </c>
      <c r="C1086" s="196" t="s">
        <v>294</v>
      </c>
      <c r="G1086" s="30"/>
      <c r="H1086" s="30"/>
      <c r="I1086" s="30"/>
      <c r="J1086" s="30"/>
      <c r="K1086" s="30"/>
      <c r="L1086" s="30"/>
      <c r="M1086" s="30"/>
      <c r="N1086" s="30"/>
      <c r="R1086" s="240"/>
    </row>
    <row r="1087">
      <c r="B1087" s="196" t="s">
        <v>296</v>
      </c>
      <c r="C1087" s="196" t="s">
        <v>297</v>
      </c>
      <c r="G1087" s="30"/>
      <c r="H1087" s="30"/>
      <c r="I1087" s="30"/>
      <c r="J1087" s="30"/>
      <c r="K1087" s="30"/>
      <c r="L1087" s="30"/>
      <c r="M1087" s="30"/>
      <c r="N1087" s="30"/>
      <c r="R1087" s="240"/>
    </row>
    <row r="1088">
      <c r="A1088" s="147">
        <v>7.0</v>
      </c>
      <c r="B1088" s="195" t="s">
        <v>298</v>
      </c>
      <c r="C1088" s="195" t="s">
        <v>299</v>
      </c>
      <c r="D1088" s="94" t="s">
        <v>159</v>
      </c>
      <c r="E1088" s="94" t="s">
        <v>171</v>
      </c>
      <c r="G1088" s="30"/>
      <c r="H1088" s="30"/>
      <c r="I1088" s="30"/>
      <c r="J1088" s="30"/>
      <c r="K1088" s="30"/>
      <c r="L1088" s="30"/>
      <c r="M1088" s="30"/>
      <c r="N1088" s="30"/>
      <c r="R1088" s="240"/>
    </row>
    <row r="1089">
      <c r="B1089" s="195" t="s">
        <v>301</v>
      </c>
      <c r="C1089" s="195" t="s">
        <v>302</v>
      </c>
      <c r="G1089" s="30"/>
      <c r="H1089" s="30"/>
      <c r="I1089" s="30"/>
      <c r="J1089" s="30"/>
      <c r="K1089" s="30"/>
      <c r="L1089" s="30"/>
      <c r="M1089" s="30"/>
      <c r="N1089" s="30"/>
      <c r="R1089" s="240"/>
    </row>
    <row r="1090">
      <c r="B1090" s="195" t="s">
        <v>303</v>
      </c>
      <c r="C1090" s="195" t="s">
        <v>304</v>
      </c>
      <c r="G1090" s="30"/>
      <c r="H1090" s="30"/>
      <c r="I1090" s="30"/>
      <c r="J1090" s="30"/>
      <c r="K1090" s="30"/>
      <c r="L1090" s="30"/>
      <c r="M1090" s="30"/>
      <c r="N1090" s="30"/>
      <c r="R1090" s="240"/>
    </row>
    <row r="1091">
      <c r="A1091" s="155">
        <v>8.0</v>
      </c>
      <c r="B1091" s="196" t="s">
        <v>305</v>
      </c>
      <c r="C1091" s="196" t="s">
        <v>306</v>
      </c>
      <c r="D1091" s="107" t="s">
        <v>159</v>
      </c>
      <c r="E1091" s="198" t="s">
        <v>172</v>
      </c>
      <c r="G1091" s="30"/>
      <c r="H1091" s="30"/>
      <c r="I1091" s="30"/>
      <c r="J1091" s="30"/>
      <c r="K1091" s="30"/>
      <c r="L1091" s="30"/>
      <c r="M1091" s="30"/>
      <c r="N1091" s="30"/>
      <c r="R1091" s="240"/>
    </row>
    <row r="1092">
      <c r="B1092" s="196" t="s">
        <v>307</v>
      </c>
      <c r="C1092" s="196" t="s">
        <v>308</v>
      </c>
      <c r="G1092" s="30"/>
      <c r="H1092" s="30"/>
      <c r="I1092" s="30"/>
      <c r="J1092" s="30"/>
      <c r="K1092" s="30"/>
      <c r="L1092" s="30"/>
      <c r="M1092" s="30"/>
      <c r="N1092" s="30"/>
      <c r="R1092" s="240"/>
    </row>
    <row r="1093">
      <c r="B1093" s="196" t="s">
        <v>309</v>
      </c>
      <c r="C1093" s="196" t="s">
        <v>310</v>
      </c>
      <c r="G1093" s="30"/>
      <c r="H1093" s="30"/>
      <c r="I1093" s="30"/>
      <c r="J1093" s="30"/>
      <c r="K1093" s="30"/>
      <c r="L1093" s="30"/>
      <c r="M1093" s="30"/>
      <c r="N1093" s="30"/>
      <c r="R1093" s="240"/>
    </row>
    <row r="1094">
      <c r="A1094" s="143">
        <v>9.0</v>
      </c>
      <c r="B1094" s="195" t="s">
        <v>315</v>
      </c>
      <c r="C1094" s="195" t="s">
        <v>317</v>
      </c>
      <c r="D1094" s="94" t="s">
        <v>159</v>
      </c>
      <c r="E1094" s="198" t="s">
        <v>162</v>
      </c>
      <c r="G1094" s="30"/>
      <c r="H1094" s="30"/>
      <c r="I1094" s="30"/>
      <c r="J1094" s="30"/>
      <c r="K1094" s="30"/>
      <c r="L1094" s="30"/>
      <c r="M1094" s="30"/>
      <c r="N1094" s="30"/>
      <c r="R1094" s="240"/>
    </row>
    <row r="1095">
      <c r="B1095" s="195" t="s">
        <v>323</v>
      </c>
      <c r="C1095" s="195" t="s">
        <v>325</v>
      </c>
      <c r="G1095" s="30"/>
      <c r="H1095" s="30"/>
      <c r="I1095" s="30"/>
      <c r="J1095" s="30"/>
      <c r="K1095" s="30"/>
      <c r="L1095" s="30"/>
      <c r="M1095" s="30"/>
      <c r="N1095" s="30"/>
      <c r="R1095" s="240"/>
    </row>
    <row r="1096">
      <c r="B1096" s="195" t="s">
        <v>329</v>
      </c>
      <c r="C1096" s="195" t="s">
        <v>330</v>
      </c>
      <c r="G1096" s="30"/>
      <c r="H1096" s="30"/>
      <c r="I1096" s="30"/>
      <c r="J1096" s="30"/>
      <c r="K1096" s="30"/>
      <c r="L1096" s="30"/>
      <c r="M1096" s="30"/>
      <c r="N1096" s="30"/>
      <c r="R1096" s="240"/>
    </row>
    <row r="1097">
      <c r="A1097" s="136">
        <v>10.0</v>
      </c>
      <c r="B1097" s="245" t="s">
        <v>254</v>
      </c>
      <c r="C1097" s="245" t="s">
        <v>435</v>
      </c>
      <c r="D1097" s="107" t="s">
        <v>159</v>
      </c>
      <c r="E1097" s="94" t="s">
        <v>171</v>
      </c>
      <c r="G1097" s="30"/>
      <c r="H1097" s="30"/>
      <c r="I1097" s="30"/>
      <c r="J1097" s="30"/>
      <c r="K1097" s="30"/>
      <c r="L1097" s="30"/>
      <c r="M1097" s="30"/>
      <c r="N1097" s="30"/>
      <c r="R1097" s="240"/>
    </row>
    <row r="1098">
      <c r="B1098" s="196" t="s">
        <v>323</v>
      </c>
      <c r="C1098" s="196" t="s">
        <v>334</v>
      </c>
      <c r="G1098" s="30"/>
      <c r="H1098" s="30"/>
      <c r="I1098" s="30"/>
      <c r="J1098" s="30"/>
      <c r="K1098" s="30"/>
      <c r="L1098" s="30"/>
      <c r="M1098" s="30"/>
      <c r="N1098" s="30"/>
      <c r="R1098" s="240"/>
    </row>
    <row r="1099">
      <c r="B1099" s="196" t="s">
        <v>339</v>
      </c>
      <c r="C1099" s="196" t="s">
        <v>340</v>
      </c>
      <c r="G1099" s="30"/>
      <c r="H1099" s="30"/>
      <c r="I1099" s="30"/>
      <c r="J1099" s="30"/>
      <c r="K1099" s="30"/>
      <c r="L1099" s="30"/>
      <c r="M1099" s="30"/>
      <c r="N1099" s="30"/>
      <c r="R1099" s="240"/>
    </row>
    <row r="1100">
      <c r="B1100" s="235" t="s">
        <v>341</v>
      </c>
      <c r="C1100" s="235" t="s">
        <v>342</v>
      </c>
      <c r="G1100" s="30"/>
      <c r="H1100" s="30"/>
      <c r="I1100" s="30"/>
      <c r="J1100" s="30"/>
      <c r="K1100" s="30"/>
      <c r="L1100" s="30"/>
      <c r="M1100" s="30"/>
      <c r="N1100" s="30"/>
      <c r="R1100" s="240"/>
    </row>
    <row r="1101">
      <c r="A1101" s="143">
        <v>11.0</v>
      </c>
      <c r="B1101" s="195" t="s">
        <v>343</v>
      </c>
      <c r="C1101" s="195" t="s">
        <v>344</v>
      </c>
      <c r="D1101" s="94" t="s">
        <v>263</v>
      </c>
      <c r="E1101" s="198" t="s">
        <v>167</v>
      </c>
      <c r="G1101" s="30"/>
      <c r="H1101" s="30"/>
      <c r="I1101" s="30"/>
      <c r="J1101" s="30"/>
      <c r="K1101" s="30"/>
      <c r="L1101" s="30"/>
      <c r="M1101" s="30"/>
      <c r="N1101" s="30"/>
      <c r="R1101" s="240"/>
    </row>
    <row r="1102">
      <c r="B1102" s="195" t="s">
        <v>345</v>
      </c>
      <c r="C1102" s="195" t="s">
        <v>346</v>
      </c>
      <c r="G1102" s="30"/>
      <c r="H1102" s="30"/>
      <c r="I1102" s="30"/>
      <c r="J1102" s="30"/>
      <c r="K1102" s="30"/>
      <c r="L1102" s="30"/>
      <c r="M1102" s="30"/>
      <c r="N1102" s="30"/>
      <c r="R1102" s="240"/>
    </row>
    <row r="1103">
      <c r="B1103" s="190" t="s">
        <v>347</v>
      </c>
      <c r="C1103" s="190" t="s">
        <v>348</v>
      </c>
      <c r="G1103" s="30"/>
      <c r="H1103" s="30"/>
      <c r="I1103" s="30"/>
      <c r="J1103" s="30"/>
      <c r="K1103" s="30"/>
      <c r="L1103" s="30"/>
      <c r="M1103" s="30"/>
      <c r="N1103" s="30"/>
      <c r="R1103" s="240"/>
    </row>
    <row r="1104">
      <c r="A1104" s="169">
        <v>12.0</v>
      </c>
      <c r="B1104" s="236" t="s">
        <v>305</v>
      </c>
      <c r="C1104" s="236" t="s">
        <v>349</v>
      </c>
      <c r="D1104" s="107" t="s">
        <v>158</v>
      </c>
      <c r="E1104" s="198" t="s">
        <v>162</v>
      </c>
      <c r="G1104" s="30"/>
      <c r="H1104" s="30"/>
      <c r="I1104" s="30"/>
      <c r="J1104" s="30"/>
      <c r="K1104" s="30"/>
      <c r="L1104" s="30"/>
      <c r="M1104" s="30"/>
      <c r="N1104" s="30"/>
      <c r="R1104" s="240"/>
    </row>
    <row r="1105">
      <c r="B1105" s="236" t="s">
        <v>329</v>
      </c>
      <c r="C1105" s="236" t="s">
        <v>350</v>
      </c>
      <c r="G1105" s="30"/>
      <c r="H1105" s="30"/>
      <c r="I1105" s="30"/>
      <c r="J1105" s="30"/>
      <c r="K1105" s="30"/>
      <c r="L1105" s="30"/>
      <c r="M1105" s="30"/>
      <c r="N1105" s="30"/>
      <c r="R1105" s="240"/>
    </row>
    <row r="1106">
      <c r="B1106" s="236" t="s">
        <v>341</v>
      </c>
      <c r="C1106" s="236" t="s">
        <v>351</v>
      </c>
      <c r="G1106" s="30"/>
      <c r="H1106" s="30"/>
      <c r="I1106" s="30"/>
      <c r="J1106" s="30"/>
      <c r="K1106" s="30"/>
      <c r="L1106" s="30"/>
      <c r="M1106" s="30"/>
      <c r="N1106" s="30"/>
      <c r="R1106" s="240"/>
    </row>
    <row r="1107">
      <c r="A1107" s="147">
        <v>13.0</v>
      </c>
      <c r="B1107" s="190" t="s">
        <v>352</v>
      </c>
      <c r="C1107" s="190" t="s">
        <v>353</v>
      </c>
      <c r="D1107" s="94" t="s">
        <v>158</v>
      </c>
      <c r="E1107" s="198" t="s">
        <v>112</v>
      </c>
      <c r="G1107" s="30"/>
      <c r="H1107" s="30"/>
      <c r="I1107" s="30"/>
      <c r="J1107" s="30"/>
      <c r="K1107" s="30"/>
      <c r="L1107" s="30"/>
      <c r="M1107" s="30"/>
      <c r="N1107" s="30"/>
      <c r="R1107" s="240"/>
    </row>
    <row r="1108">
      <c r="B1108" s="190" t="s">
        <v>352</v>
      </c>
      <c r="C1108" s="190" t="s">
        <v>354</v>
      </c>
      <c r="G1108" s="30"/>
      <c r="H1108" s="30"/>
      <c r="I1108" s="30"/>
      <c r="J1108" s="30"/>
      <c r="K1108" s="30"/>
      <c r="L1108" s="30"/>
      <c r="M1108" s="30"/>
      <c r="N1108" s="30"/>
      <c r="R1108" s="240"/>
    </row>
    <row r="1109">
      <c r="B1109" s="190" t="s">
        <v>355</v>
      </c>
      <c r="C1109" s="190" t="s">
        <v>356</v>
      </c>
      <c r="G1109" s="30"/>
      <c r="H1109" s="30"/>
      <c r="I1109" s="30"/>
      <c r="J1109" s="30"/>
      <c r="K1109" s="30"/>
      <c r="L1109" s="30"/>
      <c r="M1109" s="30"/>
      <c r="N1109" s="30"/>
      <c r="R1109" s="240"/>
    </row>
    <row r="1110">
      <c r="A1110" s="169">
        <v>14.0</v>
      </c>
      <c r="B1110" s="236" t="s">
        <v>289</v>
      </c>
      <c r="C1110" s="236" t="s">
        <v>357</v>
      </c>
      <c r="D1110" s="107" t="s">
        <v>158</v>
      </c>
      <c r="E1110" s="198" t="s">
        <v>162</v>
      </c>
      <c r="G1110" s="30"/>
      <c r="H1110" s="30"/>
      <c r="I1110" s="30"/>
      <c r="J1110" s="30"/>
      <c r="K1110" s="30"/>
      <c r="L1110" s="30"/>
      <c r="M1110" s="30"/>
      <c r="N1110" s="30"/>
      <c r="R1110" s="240"/>
    </row>
    <row r="1111">
      <c r="B1111" s="236" t="s">
        <v>358</v>
      </c>
      <c r="C1111" s="236" t="s">
        <v>357</v>
      </c>
      <c r="G1111" s="30"/>
      <c r="H1111" s="30"/>
      <c r="I1111" s="30"/>
      <c r="J1111" s="30"/>
      <c r="K1111" s="30"/>
      <c r="L1111" s="30"/>
      <c r="M1111" s="30"/>
      <c r="N1111" s="30"/>
      <c r="R1111" s="240"/>
    </row>
    <row r="1112">
      <c r="B1112" s="236" t="s">
        <v>359</v>
      </c>
      <c r="C1112" s="236" t="s">
        <v>360</v>
      </c>
      <c r="G1112" s="30"/>
      <c r="H1112" s="30"/>
      <c r="I1112" s="30"/>
      <c r="J1112" s="30"/>
      <c r="K1112" s="30"/>
      <c r="L1112" s="30"/>
      <c r="M1112" s="30"/>
      <c r="N1112" s="30"/>
      <c r="R1112" s="240"/>
    </row>
    <row r="1113">
      <c r="A1113" s="147">
        <v>15.0</v>
      </c>
      <c r="B1113" s="190" t="s">
        <v>182</v>
      </c>
      <c r="C1113" s="190" t="s">
        <v>361</v>
      </c>
      <c r="D1113" s="94" t="s">
        <v>158</v>
      </c>
      <c r="E1113" s="198" t="s">
        <v>175</v>
      </c>
      <c r="G1113" s="30"/>
      <c r="H1113" s="30"/>
      <c r="I1113" s="30"/>
      <c r="J1113" s="30"/>
      <c r="K1113" s="30"/>
      <c r="L1113" s="30"/>
      <c r="M1113" s="30"/>
      <c r="N1113" s="30"/>
      <c r="R1113" s="240"/>
    </row>
    <row r="1114">
      <c r="B1114" s="190" t="s">
        <v>362</v>
      </c>
      <c r="C1114" s="190" t="s">
        <v>363</v>
      </c>
      <c r="G1114" s="30"/>
      <c r="H1114" s="30"/>
      <c r="I1114" s="30"/>
      <c r="J1114" s="30"/>
      <c r="K1114" s="30"/>
      <c r="L1114" s="30"/>
      <c r="M1114" s="30"/>
      <c r="N1114" s="30"/>
      <c r="R1114" s="240"/>
    </row>
    <row r="1115">
      <c r="B1115" s="190" t="s">
        <v>364</v>
      </c>
      <c r="C1115" s="190" t="s">
        <v>365</v>
      </c>
      <c r="G1115" s="30"/>
      <c r="H1115" s="30"/>
      <c r="I1115" s="30"/>
      <c r="J1115" s="30"/>
      <c r="K1115" s="30"/>
      <c r="L1115" s="30"/>
      <c r="M1115" s="30"/>
      <c r="N1115" s="30"/>
      <c r="R1115" s="240"/>
    </row>
    <row r="1116">
      <c r="A1116" s="169">
        <v>16.0</v>
      </c>
      <c r="B1116" s="236" t="s">
        <v>359</v>
      </c>
      <c r="C1116" s="236" t="s">
        <v>366</v>
      </c>
      <c r="D1116" s="107" t="s">
        <v>159</v>
      </c>
      <c r="E1116" s="198" t="s">
        <v>172</v>
      </c>
      <c r="G1116" s="30"/>
      <c r="H1116" s="30"/>
      <c r="I1116" s="30"/>
      <c r="J1116" s="30"/>
      <c r="K1116" s="30"/>
      <c r="L1116" s="30"/>
      <c r="M1116" s="30"/>
      <c r="N1116" s="30"/>
      <c r="R1116" s="240"/>
    </row>
    <row r="1117">
      <c r="B1117" s="196" t="s">
        <v>367</v>
      </c>
      <c r="C1117" s="196" t="s">
        <v>368</v>
      </c>
      <c r="G1117" s="30"/>
      <c r="H1117" s="30"/>
      <c r="I1117" s="30"/>
      <c r="J1117" s="30"/>
      <c r="K1117" s="30"/>
      <c r="L1117" s="30"/>
      <c r="M1117" s="30"/>
      <c r="N1117" s="30"/>
      <c r="R1117" s="240"/>
    </row>
    <row r="1118">
      <c r="B1118" s="196" t="s">
        <v>287</v>
      </c>
      <c r="C1118" s="196" t="s">
        <v>369</v>
      </c>
      <c r="G1118" s="30"/>
      <c r="H1118" s="30"/>
      <c r="I1118" s="30"/>
      <c r="J1118" s="30"/>
      <c r="K1118" s="30"/>
      <c r="L1118" s="30"/>
      <c r="M1118" s="30"/>
      <c r="N1118" s="30"/>
      <c r="R1118" s="240"/>
    </row>
    <row r="1119">
      <c r="A1119" s="147">
        <v>17.0</v>
      </c>
      <c r="B1119" s="35" t="s">
        <v>274</v>
      </c>
      <c r="C1119" s="35" t="s">
        <v>228</v>
      </c>
      <c r="D1119" s="94" t="s">
        <v>370</v>
      </c>
      <c r="E1119" s="94" t="s">
        <v>229</v>
      </c>
      <c r="G1119" s="30"/>
      <c r="H1119" s="30"/>
      <c r="I1119" s="30"/>
      <c r="J1119" s="30"/>
      <c r="K1119" s="30"/>
      <c r="L1119" s="30"/>
      <c r="M1119" s="30"/>
      <c r="N1119" s="30"/>
      <c r="R1119" s="240"/>
    </row>
    <row r="1120">
      <c r="B1120" s="35" t="s">
        <v>371</v>
      </c>
      <c r="C1120" s="35" t="s">
        <v>230</v>
      </c>
      <c r="G1120" s="30"/>
      <c r="H1120" s="30"/>
      <c r="I1120" s="30"/>
      <c r="J1120" s="30"/>
      <c r="K1120" s="30"/>
      <c r="L1120" s="30"/>
      <c r="M1120" s="30"/>
      <c r="N1120" s="30"/>
      <c r="R1120" s="240"/>
    </row>
    <row r="1121">
      <c r="B1121" s="35" t="s">
        <v>372</v>
      </c>
      <c r="C1121" s="35" t="s">
        <v>231</v>
      </c>
      <c r="G1121" s="30"/>
      <c r="H1121" s="30"/>
      <c r="I1121" s="30"/>
      <c r="J1121" s="30"/>
      <c r="K1121" s="30"/>
      <c r="L1121" s="30"/>
      <c r="M1121" s="30"/>
      <c r="N1121" s="30"/>
      <c r="R1121" s="240"/>
    </row>
    <row r="1122">
      <c r="A1122" s="169">
        <v>18.0</v>
      </c>
      <c r="B1122" s="43" t="s">
        <v>373</v>
      </c>
      <c r="C1122" s="43" t="s">
        <v>232</v>
      </c>
      <c r="D1122" s="169" t="s">
        <v>370</v>
      </c>
      <c r="E1122" s="169" t="s">
        <v>233</v>
      </c>
      <c r="G1122" s="30"/>
      <c r="H1122" s="30"/>
      <c r="I1122" s="30"/>
      <c r="J1122" s="30"/>
      <c r="K1122" s="30"/>
      <c r="L1122" s="30"/>
      <c r="M1122" s="30"/>
      <c r="N1122" s="30"/>
      <c r="R1122" s="240"/>
    </row>
    <row r="1123">
      <c r="B1123" s="43" t="s">
        <v>374</v>
      </c>
      <c r="C1123" s="43" t="s">
        <v>234</v>
      </c>
      <c r="G1123" s="30"/>
      <c r="H1123" s="30"/>
      <c r="I1123" s="30"/>
      <c r="J1123" s="30"/>
      <c r="K1123" s="30"/>
      <c r="L1123" s="30"/>
      <c r="M1123" s="30"/>
      <c r="N1123" s="30"/>
      <c r="R1123" s="240"/>
    </row>
    <row r="1124">
      <c r="B1124" s="43" t="s">
        <v>375</v>
      </c>
      <c r="C1124" s="43" t="s">
        <v>235</v>
      </c>
      <c r="G1124" s="30"/>
      <c r="H1124" s="30"/>
      <c r="I1124" s="30"/>
      <c r="J1124" s="30"/>
      <c r="K1124" s="30"/>
      <c r="L1124" s="30"/>
      <c r="M1124" s="30"/>
      <c r="N1124" s="30"/>
      <c r="R1124" s="240"/>
    </row>
    <row r="1125">
      <c r="A1125" s="147">
        <v>19.0</v>
      </c>
      <c r="B1125" s="35" t="s">
        <v>376</v>
      </c>
      <c r="C1125" s="35" t="s">
        <v>236</v>
      </c>
      <c r="D1125" s="94" t="s">
        <v>370</v>
      </c>
      <c r="E1125" s="94" t="s">
        <v>237</v>
      </c>
      <c r="G1125" s="30"/>
      <c r="H1125" s="30"/>
      <c r="I1125" s="30"/>
      <c r="J1125" s="30"/>
      <c r="K1125" s="30"/>
      <c r="L1125" s="30"/>
      <c r="M1125" s="30"/>
      <c r="N1125" s="30"/>
      <c r="R1125" s="240"/>
    </row>
    <row r="1126">
      <c r="B1126" s="35" t="s">
        <v>358</v>
      </c>
      <c r="C1126" s="35" t="s">
        <v>238</v>
      </c>
      <c r="G1126" s="30"/>
      <c r="H1126" s="30"/>
      <c r="I1126" s="30"/>
      <c r="J1126" s="30"/>
      <c r="K1126" s="30"/>
      <c r="L1126" s="30"/>
      <c r="M1126" s="30"/>
      <c r="N1126" s="30"/>
      <c r="R1126" s="240"/>
    </row>
    <row r="1127">
      <c r="B1127" s="35" t="s">
        <v>377</v>
      </c>
      <c r="C1127" s="35" t="s">
        <v>239</v>
      </c>
      <c r="G1127" s="30"/>
      <c r="H1127" s="30"/>
      <c r="I1127" s="30"/>
      <c r="J1127" s="30"/>
      <c r="K1127" s="30"/>
      <c r="L1127" s="30"/>
      <c r="M1127" s="30"/>
      <c r="N1127" s="30"/>
      <c r="R1127" s="240"/>
    </row>
    <row r="1128">
      <c r="A1128" s="169">
        <v>20.0</v>
      </c>
      <c r="B1128" s="43" t="s">
        <v>378</v>
      </c>
      <c r="C1128" s="43" t="s">
        <v>240</v>
      </c>
      <c r="D1128" s="169" t="s">
        <v>370</v>
      </c>
      <c r="E1128" s="169" t="s">
        <v>241</v>
      </c>
      <c r="G1128" s="30"/>
      <c r="H1128" s="30"/>
      <c r="I1128" s="30"/>
      <c r="J1128" s="30"/>
      <c r="K1128" s="30"/>
      <c r="L1128" s="30"/>
      <c r="M1128" s="30"/>
      <c r="N1128" s="30"/>
      <c r="R1128" s="240"/>
    </row>
    <row r="1129">
      <c r="B1129" s="43" t="s">
        <v>380</v>
      </c>
      <c r="C1129" s="43" t="s">
        <v>242</v>
      </c>
      <c r="G1129" s="30"/>
      <c r="H1129" s="30"/>
      <c r="I1129" s="30"/>
      <c r="J1129" s="30"/>
      <c r="K1129" s="30"/>
      <c r="L1129" s="30"/>
      <c r="M1129" s="30"/>
      <c r="N1129" s="30"/>
      <c r="R1129" s="240"/>
    </row>
    <row r="1130">
      <c r="B1130" s="43" t="s">
        <v>382</v>
      </c>
      <c r="C1130" s="43" t="s">
        <v>243</v>
      </c>
      <c r="G1130" s="30"/>
      <c r="H1130" s="30"/>
      <c r="I1130" s="30"/>
      <c r="J1130" s="30"/>
      <c r="K1130" s="30"/>
      <c r="L1130" s="30"/>
      <c r="M1130" s="30"/>
      <c r="N1130" s="30"/>
      <c r="R1130" s="240"/>
    </row>
    <row r="1131">
      <c r="A1131" s="147">
        <v>21.0</v>
      </c>
      <c r="B1131" s="35" t="s">
        <v>384</v>
      </c>
      <c r="C1131" s="35" t="s">
        <v>244</v>
      </c>
      <c r="D1131" s="94" t="s">
        <v>370</v>
      </c>
      <c r="E1131" s="94" t="s">
        <v>245</v>
      </c>
      <c r="G1131" s="30"/>
      <c r="H1131" s="30"/>
      <c r="I1131" s="30"/>
      <c r="J1131" s="30"/>
      <c r="K1131" s="30"/>
      <c r="L1131" s="30"/>
      <c r="M1131" s="30"/>
      <c r="N1131" s="30"/>
      <c r="R1131" s="240"/>
    </row>
    <row r="1132">
      <c r="B1132" s="35" t="s">
        <v>386</v>
      </c>
      <c r="C1132" s="35" t="s">
        <v>246</v>
      </c>
      <c r="G1132" s="30"/>
      <c r="H1132" s="30"/>
      <c r="I1132" s="30"/>
      <c r="J1132" s="30"/>
      <c r="K1132" s="30"/>
      <c r="L1132" s="30"/>
      <c r="M1132" s="30"/>
      <c r="N1132" s="30"/>
      <c r="R1132" s="240"/>
    </row>
    <row r="1133">
      <c r="B1133" s="35" t="s">
        <v>387</v>
      </c>
      <c r="C1133" s="35" t="s">
        <v>247</v>
      </c>
      <c r="G1133" s="30"/>
      <c r="H1133" s="30"/>
      <c r="I1133" s="30"/>
      <c r="J1133" s="30"/>
      <c r="K1133" s="30"/>
      <c r="L1133" s="30"/>
      <c r="M1133" s="30"/>
      <c r="N1133" s="30"/>
      <c r="R1133" s="240"/>
    </row>
    <row r="1134">
      <c r="B1134" s="35" t="s">
        <v>388</v>
      </c>
      <c r="C1134" s="35" t="s">
        <v>248</v>
      </c>
      <c r="G1134" s="30"/>
      <c r="H1134" s="30"/>
      <c r="I1134" s="30"/>
      <c r="J1134" s="30"/>
      <c r="K1134" s="30"/>
      <c r="L1134" s="30"/>
      <c r="M1134" s="30"/>
      <c r="N1134" s="30"/>
      <c r="R1134" s="240"/>
    </row>
  </sheetData>
  <autoFilter ref="$A$1:$X$83"/>
  <mergeCells count="158">
    <mergeCell ref="E23:E25"/>
    <mergeCell ref="E26:E28"/>
    <mergeCell ref="E29:E31"/>
    <mergeCell ref="E11:E13"/>
    <mergeCell ref="E14:E16"/>
    <mergeCell ref="E17:E19"/>
    <mergeCell ref="F17:F19"/>
    <mergeCell ref="E20:E22"/>
    <mergeCell ref="F20:F22"/>
    <mergeCell ref="F23:F25"/>
    <mergeCell ref="L29:L31"/>
    <mergeCell ref="M29:M31"/>
    <mergeCell ref="N29:N31"/>
    <mergeCell ref="F26:F28"/>
    <mergeCell ref="F29:F31"/>
    <mergeCell ref="G29:G31"/>
    <mergeCell ref="H29:H31"/>
    <mergeCell ref="I29:I31"/>
    <mergeCell ref="J29:J31"/>
    <mergeCell ref="K29:K31"/>
    <mergeCell ref="K35:K37"/>
    <mergeCell ref="K38:K40"/>
    <mergeCell ref="K14:K16"/>
    <mergeCell ref="K17:K19"/>
    <mergeCell ref="K20:K22"/>
    <mergeCell ref="K23:K25"/>
    <mergeCell ref="J26:J28"/>
    <mergeCell ref="K26:K28"/>
    <mergeCell ref="K32:K34"/>
    <mergeCell ref="E32:E34"/>
    <mergeCell ref="F32:F34"/>
    <mergeCell ref="E35:E37"/>
    <mergeCell ref="F35:F37"/>
    <mergeCell ref="E38:E40"/>
    <mergeCell ref="F38:F40"/>
    <mergeCell ref="E41:E43"/>
    <mergeCell ref="E44:E46"/>
    <mergeCell ref="F44:F46"/>
    <mergeCell ref="E59:E61"/>
    <mergeCell ref="F59:F61"/>
    <mergeCell ref="E62:E65"/>
    <mergeCell ref="F62:F65"/>
    <mergeCell ref="E1070:E1072"/>
    <mergeCell ref="D1070:D1072"/>
    <mergeCell ref="D1073:D1075"/>
    <mergeCell ref="D1076:D1078"/>
    <mergeCell ref="D1079:D1081"/>
    <mergeCell ref="D1082:D1084"/>
    <mergeCell ref="D1085:D1087"/>
    <mergeCell ref="D1088:D1090"/>
    <mergeCell ref="E1073:E1075"/>
    <mergeCell ref="E1076:E1078"/>
    <mergeCell ref="E1079:E1081"/>
    <mergeCell ref="E1082:E1084"/>
    <mergeCell ref="E1085:E1087"/>
    <mergeCell ref="E1088:E1090"/>
    <mergeCell ref="E1091:E1093"/>
    <mergeCell ref="D1113:D1115"/>
    <mergeCell ref="D1116:D1118"/>
    <mergeCell ref="D1119:D1121"/>
    <mergeCell ref="D1122:D1124"/>
    <mergeCell ref="D1125:D1127"/>
    <mergeCell ref="D1128:D1130"/>
    <mergeCell ref="D1131:D1134"/>
    <mergeCell ref="D1091:D1093"/>
    <mergeCell ref="D1094:D1096"/>
    <mergeCell ref="D1097:D1100"/>
    <mergeCell ref="D1101:D1103"/>
    <mergeCell ref="D1104:D1106"/>
    <mergeCell ref="D1107:D1109"/>
    <mergeCell ref="D1110:D1112"/>
    <mergeCell ref="E1116:E1118"/>
    <mergeCell ref="E1119:E1121"/>
    <mergeCell ref="E1122:E1124"/>
    <mergeCell ref="E1125:E1127"/>
    <mergeCell ref="E1128:E1130"/>
    <mergeCell ref="E1131:E1134"/>
    <mergeCell ref="E1094:E1096"/>
    <mergeCell ref="E1097:E1100"/>
    <mergeCell ref="E1101:E1103"/>
    <mergeCell ref="E1104:E1106"/>
    <mergeCell ref="E1107:E1109"/>
    <mergeCell ref="E1110:E1112"/>
    <mergeCell ref="E1113:E1115"/>
    <mergeCell ref="A35:A37"/>
    <mergeCell ref="A38:A40"/>
    <mergeCell ref="A41:A43"/>
    <mergeCell ref="A44:A46"/>
    <mergeCell ref="A47:A49"/>
    <mergeCell ref="A50:A52"/>
    <mergeCell ref="A53:A55"/>
    <mergeCell ref="A56:A58"/>
    <mergeCell ref="A59:A61"/>
    <mergeCell ref="A62:A65"/>
    <mergeCell ref="A67:A76"/>
    <mergeCell ref="A1070:A1072"/>
    <mergeCell ref="A1073:A1075"/>
    <mergeCell ref="A1076:A1078"/>
    <mergeCell ref="A1079:A1081"/>
    <mergeCell ref="A1082:A1084"/>
    <mergeCell ref="A1085:A1087"/>
    <mergeCell ref="A1088:A1090"/>
    <mergeCell ref="A1091:A1093"/>
    <mergeCell ref="A1094:A1096"/>
    <mergeCell ref="A1097:A1100"/>
    <mergeCell ref="A1122:A1124"/>
    <mergeCell ref="A1125:A1127"/>
    <mergeCell ref="A1128:A1130"/>
    <mergeCell ref="A1131:A1134"/>
    <mergeCell ref="A1101:A1103"/>
    <mergeCell ref="A1104:A1106"/>
    <mergeCell ref="A1107:A1109"/>
    <mergeCell ref="A1110:A1112"/>
    <mergeCell ref="A1113:A1115"/>
    <mergeCell ref="A1116:A1118"/>
    <mergeCell ref="A1119:A1121"/>
    <mergeCell ref="A2:A4"/>
    <mergeCell ref="E2:E4"/>
    <mergeCell ref="F2:F4"/>
    <mergeCell ref="K2:K4"/>
    <mergeCell ref="E5:E7"/>
    <mergeCell ref="F5:F7"/>
    <mergeCell ref="K5:K7"/>
    <mergeCell ref="A5:A7"/>
    <mergeCell ref="A8:A10"/>
    <mergeCell ref="E8:E10"/>
    <mergeCell ref="F8:F10"/>
    <mergeCell ref="A11:A13"/>
    <mergeCell ref="F11:F13"/>
    <mergeCell ref="F14:F16"/>
    <mergeCell ref="P17:Q17"/>
    <mergeCell ref="P18:Q18"/>
    <mergeCell ref="K8:K10"/>
    <mergeCell ref="K11:K13"/>
    <mergeCell ref="P12:Q12"/>
    <mergeCell ref="P13:Q13"/>
    <mergeCell ref="P14:Q14"/>
    <mergeCell ref="P15:Q15"/>
    <mergeCell ref="P16:Q16"/>
    <mergeCell ref="A14:A16"/>
    <mergeCell ref="A17:A19"/>
    <mergeCell ref="A20:A22"/>
    <mergeCell ref="A23:A25"/>
    <mergeCell ref="A26:A28"/>
    <mergeCell ref="A29:A31"/>
    <mergeCell ref="A32:A34"/>
    <mergeCell ref="E50:E52"/>
    <mergeCell ref="E53:E55"/>
    <mergeCell ref="F53:F55"/>
    <mergeCell ref="E56:E58"/>
    <mergeCell ref="F56:F58"/>
    <mergeCell ref="F41:F43"/>
    <mergeCell ref="K41:K43"/>
    <mergeCell ref="K44:K46"/>
    <mergeCell ref="E47:E49"/>
    <mergeCell ref="F47:F49"/>
    <mergeCell ref="K47:K49"/>
    <mergeCell ref="F50:F5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C1" s="31" t="s">
        <v>311</v>
      </c>
      <c r="D1" s="31" t="s">
        <v>312</v>
      </c>
    </row>
    <row r="2">
      <c r="B2" s="31" t="s">
        <v>313</v>
      </c>
      <c r="C2" s="31">
        <v>4.0</v>
      </c>
      <c r="D2" s="31">
        <v>1.0</v>
      </c>
      <c r="I2" s="31" t="s">
        <v>314</v>
      </c>
      <c r="J2" s="31" t="s">
        <v>316</v>
      </c>
      <c r="K2" s="31">
        <v>2.0</v>
      </c>
    </row>
    <row r="3">
      <c r="B3" s="31" t="s">
        <v>318</v>
      </c>
      <c r="C3" s="31">
        <v>1.0</v>
      </c>
      <c r="D3" s="31">
        <v>1.0</v>
      </c>
      <c r="J3" s="31" t="s">
        <v>319</v>
      </c>
    </row>
    <row r="4">
      <c r="B4" s="31" t="s">
        <v>320</v>
      </c>
      <c r="C4" s="31"/>
      <c r="D4" s="31">
        <v>1.0</v>
      </c>
      <c r="J4" s="31" t="s">
        <v>321</v>
      </c>
    </row>
    <row r="5">
      <c r="B5" s="31" t="s">
        <v>322</v>
      </c>
      <c r="C5" s="31">
        <v>1.0</v>
      </c>
      <c r="D5" s="31">
        <v>1.0</v>
      </c>
      <c r="J5" s="31" t="s">
        <v>324</v>
      </c>
    </row>
    <row r="6">
      <c r="B6" s="31" t="s">
        <v>326</v>
      </c>
      <c r="C6" s="31">
        <v>1.0</v>
      </c>
      <c r="D6" s="31">
        <v>1.0</v>
      </c>
    </row>
    <row r="7">
      <c r="B7" s="31" t="s">
        <v>327</v>
      </c>
      <c r="C7" s="31">
        <v>1.0</v>
      </c>
      <c r="D7" s="31">
        <v>1.0</v>
      </c>
    </row>
    <row r="8">
      <c r="B8" s="31" t="s">
        <v>328</v>
      </c>
      <c r="C8" s="31">
        <v>1.0</v>
      </c>
      <c r="D8" s="31">
        <v>1.0</v>
      </c>
    </row>
    <row r="9">
      <c r="B9" s="31" t="s">
        <v>331</v>
      </c>
      <c r="D9" s="31">
        <v>1.0</v>
      </c>
    </row>
    <row r="10">
      <c r="B10" s="31" t="s">
        <v>332</v>
      </c>
      <c r="C10" s="31">
        <v>1.0</v>
      </c>
      <c r="D10" s="31">
        <v>1.0</v>
      </c>
    </row>
    <row r="11">
      <c r="B11" s="31" t="s">
        <v>333</v>
      </c>
      <c r="C11" s="31">
        <v>1.0</v>
      </c>
    </row>
    <row r="12">
      <c r="B12" s="31" t="s">
        <v>335</v>
      </c>
      <c r="C12" s="31">
        <v>6.0</v>
      </c>
      <c r="D12" s="31">
        <v>6.0</v>
      </c>
    </row>
    <row r="13">
      <c r="B13" s="31" t="s">
        <v>336</v>
      </c>
      <c r="C13" s="31">
        <v>1.0</v>
      </c>
      <c r="D13" s="31">
        <v>1.0</v>
      </c>
    </row>
    <row r="14">
      <c r="B14" s="31" t="s">
        <v>337</v>
      </c>
      <c r="D14" s="31">
        <v>3.0</v>
      </c>
      <c r="E14" s="31" t="s">
        <v>338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37.88"/>
    <col customWidth="1" min="3" max="3" width="77.38"/>
    <col customWidth="1" min="5" max="5" width="71.38"/>
  </cols>
  <sheetData>
    <row r="1">
      <c r="B1" s="18" t="s">
        <v>379</v>
      </c>
    </row>
    <row r="2">
      <c r="B2" s="241" t="s">
        <v>381</v>
      </c>
      <c r="C2" s="241" t="s">
        <v>383</v>
      </c>
    </row>
    <row r="3">
      <c r="B3" s="31" t="s">
        <v>379</v>
      </c>
      <c r="C3" s="244" t="s">
        <v>385</v>
      </c>
    </row>
    <row r="6">
      <c r="B6" s="18" t="s">
        <v>391</v>
      </c>
    </row>
    <row r="7">
      <c r="B7" s="241" t="s">
        <v>381</v>
      </c>
      <c r="C7" s="241" t="s">
        <v>383</v>
      </c>
    </row>
    <row r="8">
      <c r="B8" s="31" t="s">
        <v>393</v>
      </c>
      <c r="C8" s="244" t="s">
        <v>394</v>
      </c>
    </row>
    <row r="9">
      <c r="B9" s="31" t="s">
        <v>407</v>
      </c>
      <c r="C9" s="250" t="s">
        <v>408</v>
      </c>
    </row>
    <row r="10">
      <c r="B10" s="31" t="s">
        <v>409</v>
      </c>
      <c r="C10" s="244" t="s">
        <v>410</v>
      </c>
    </row>
    <row r="11">
      <c r="B11" s="253" t="s">
        <v>415</v>
      </c>
      <c r="C11" s="244" t="s">
        <v>416</v>
      </c>
    </row>
    <row r="12">
      <c r="B12" s="255"/>
      <c r="C12" s="244" t="s">
        <v>418</v>
      </c>
    </row>
    <row r="13">
      <c r="B13" s="31" t="s">
        <v>419</v>
      </c>
      <c r="C13" s="244" t="s">
        <v>420</v>
      </c>
    </row>
    <row r="14">
      <c r="B14" s="31"/>
      <c r="C14" s="31"/>
    </row>
    <row r="15">
      <c r="B15" s="18" t="s">
        <v>421</v>
      </c>
    </row>
    <row r="16">
      <c r="B16" s="241" t="s">
        <v>381</v>
      </c>
      <c r="C16" s="241" t="s">
        <v>383</v>
      </c>
    </row>
    <row r="17">
      <c r="B17" s="256"/>
    </row>
    <row r="18">
      <c r="B18" s="257" t="s">
        <v>422</v>
      </c>
      <c r="C18" s="259" t="s">
        <v>423</v>
      </c>
      <c r="D18" s="121"/>
    </row>
    <row r="19">
      <c r="B19" s="257" t="s">
        <v>424</v>
      </c>
      <c r="C19" s="260" t="s">
        <v>425</v>
      </c>
      <c r="D19" s="121"/>
      <c r="E19" s="31"/>
    </row>
    <row r="20">
      <c r="B20" s="257" t="s">
        <v>426</v>
      </c>
      <c r="C20" s="260" t="s">
        <v>427</v>
      </c>
      <c r="D20" s="121"/>
    </row>
    <row r="21">
      <c r="B21" s="257" t="s">
        <v>428</v>
      </c>
      <c r="C21" s="260" t="s">
        <v>429</v>
      </c>
      <c r="D21" s="121"/>
    </row>
    <row r="22">
      <c r="B22" s="257" t="s">
        <v>430</v>
      </c>
      <c r="C22" s="260" t="s">
        <v>431</v>
      </c>
      <c r="D22" s="121"/>
      <c r="E22" s="31"/>
    </row>
    <row r="23">
      <c r="E23" s="31"/>
    </row>
    <row r="26">
      <c r="B26" s="18" t="s">
        <v>432</v>
      </c>
    </row>
    <row r="27">
      <c r="B27" s="241" t="s">
        <v>381</v>
      </c>
      <c r="C27" s="241" t="s">
        <v>383</v>
      </c>
    </row>
    <row r="28">
      <c r="B28" s="253" t="s">
        <v>433</v>
      </c>
      <c r="C28" s="244" t="s">
        <v>434</v>
      </c>
    </row>
    <row r="32">
      <c r="B32" s="18" t="s">
        <v>437</v>
      </c>
    </row>
    <row r="33">
      <c r="B33" s="241" t="s">
        <v>381</v>
      </c>
      <c r="C33" s="241" t="s">
        <v>383</v>
      </c>
    </row>
    <row r="34">
      <c r="B34" s="31" t="s">
        <v>438</v>
      </c>
      <c r="C34" s="266" t="s">
        <v>439</v>
      </c>
    </row>
    <row r="35">
      <c r="B35" s="31" t="s">
        <v>440</v>
      </c>
      <c r="C35" s="244" t="s">
        <v>441</v>
      </c>
    </row>
  </sheetData>
  <mergeCells count="5">
    <mergeCell ref="B1:C1"/>
    <mergeCell ref="B6:C6"/>
    <mergeCell ref="B15:C15"/>
    <mergeCell ref="B26:C26"/>
    <mergeCell ref="B32:C32"/>
  </mergeCells>
  <hyperlinks>
    <hyperlink r:id="rId1" ref="C3"/>
    <hyperlink r:id="rId2" ref="C8"/>
    <hyperlink r:id="rId3" ref="C9"/>
    <hyperlink r:id="rId4" ref="C10"/>
    <hyperlink r:id="rId5" ref="C11"/>
    <hyperlink r:id="rId6" ref="C12"/>
    <hyperlink r:id="rId7" ref="C13"/>
    <hyperlink r:id="rId8" ref="C18"/>
    <hyperlink r:id="rId9" ref="C19"/>
    <hyperlink r:id="rId10" ref="C20"/>
    <hyperlink r:id="rId11" ref="C21"/>
    <hyperlink r:id="rId12" ref="C22"/>
    <hyperlink r:id="rId13" ref="C28"/>
    <hyperlink r:id="rId14" ref="C34"/>
    <hyperlink r:id="rId15" ref="C35"/>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2" max="2" width="9.38"/>
    <col customWidth="1" min="3" max="3" width="19.75"/>
    <col customWidth="1" hidden="1" min="17" max="17" width="12.38"/>
    <col customWidth="1" hidden="1" min="18" max="18" width="25.0"/>
    <col customWidth="1" hidden="1" min="19" max="19" width="23.88"/>
    <col customWidth="1" hidden="1" min="20" max="20" width="9.13"/>
    <col customWidth="1" hidden="1" min="21" max="21" width="26.38"/>
    <col customWidth="1" hidden="1" min="22" max="22" width="21.0"/>
    <col customWidth="1" hidden="1" min="23" max="23" width="15.75"/>
    <col hidden="1" min="24" max="25" width="12.63"/>
    <col customWidth="1" hidden="1" min="26" max="26" width="6.13"/>
  </cols>
  <sheetData>
    <row r="1">
      <c r="A1" s="186" t="s">
        <v>249</v>
      </c>
      <c r="B1" s="187" t="s">
        <v>250</v>
      </c>
      <c r="C1" s="187"/>
      <c r="D1" s="186"/>
      <c r="E1" s="186" t="s">
        <v>251</v>
      </c>
      <c r="F1" s="188" t="s">
        <v>252</v>
      </c>
      <c r="G1" s="188" t="s">
        <v>252</v>
      </c>
      <c r="H1" s="251" t="s">
        <v>386</v>
      </c>
      <c r="I1" s="251" t="s">
        <v>182</v>
      </c>
      <c r="J1" s="251" t="s">
        <v>411</v>
      </c>
      <c r="K1" s="251" t="s">
        <v>412</v>
      </c>
      <c r="L1" s="251" t="s">
        <v>413</v>
      </c>
      <c r="M1" s="251" t="s">
        <v>414</v>
      </c>
      <c r="N1" s="251" t="s">
        <v>100</v>
      </c>
      <c r="O1" s="252"/>
      <c r="P1" s="252"/>
      <c r="S1" s="97" t="s">
        <v>253</v>
      </c>
      <c r="T1" s="31">
        <v>4.0</v>
      </c>
      <c r="U1" s="31">
        <v>6.0</v>
      </c>
      <c r="W1" s="31">
        <v>24.0</v>
      </c>
      <c r="X1">
        <f>COUNTIF(#REF!,24)</f>
        <v>0</v>
      </c>
      <c r="Y1">
        <f>X1*3</f>
        <v>0</v>
      </c>
      <c r="Z1" s="103"/>
    </row>
    <row r="2">
      <c r="A2" s="94">
        <v>1.0</v>
      </c>
      <c r="B2" s="190" t="s">
        <v>254</v>
      </c>
      <c r="C2" s="190" t="s">
        <v>255</v>
      </c>
      <c r="D2" s="191" t="s">
        <v>159</v>
      </c>
      <c r="E2" s="198"/>
      <c r="F2" s="94" t="s">
        <v>160</v>
      </c>
      <c r="G2" s="254" t="s">
        <v>173</v>
      </c>
      <c r="H2" s="254" t="s">
        <v>417</v>
      </c>
      <c r="I2" s="254" t="s">
        <v>173</v>
      </c>
      <c r="J2" s="254"/>
      <c r="K2" s="254"/>
      <c r="L2" s="254"/>
      <c r="M2" s="254"/>
      <c r="N2" s="254"/>
      <c r="O2" s="254"/>
      <c r="P2" s="254"/>
      <c r="S2" s="44" t="s">
        <v>256</v>
      </c>
      <c r="T2" s="31">
        <v>3.0</v>
      </c>
      <c r="U2" s="31">
        <v>3.0</v>
      </c>
      <c r="W2" s="31">
        <v>26.0</v>
      </c>
      <c r="X2">
        <f>COUNTIF(#REF!,26)</f>
        <v>0</v>
      </c>
      <c r="Y2">
        <f>X2*3+1</f>
        <v>1</v>
      </c>
      <c r="Z2" s="193"/>
    </row>
    <row r="3">
      <c r="B3" s="190" t="s">
        <v>257</v>
      </c>
      <c r="C3" s="190" t="s">
        <v>258</v>
      </c>
      <c r="D3" s="191" t="s">
        <v>159</v>
      </c>
      <c r="G3" s="254"/>
      <c r="H3" s="254"/>
      <c r="I3" s="254"/>
      <c r="J3" s="254"/>
      <c r="K3" s="254"/>
      <c r="L3" s="254"/>
      <c r="M3" s="254"/>
      <c r="N3" s="254"/>
      <c r="O3" s="254"/>
      <c r="P3" s="254"/>
      <c r="S3" s="194" t="s">
        <v>259</v>
      </c>
      <c r="T3" s="31" t="s">
        <v>260</v>
      </c>
      <c r="U3" s="31">
        <v>3.0</v>
      </c>
      <c r="X3" s="193"/>
      <c r="Y3" s="193"/>
      <c r="Z3" s="193"/>
    </row>
    <row r="4">
      <c r="B4" s="195" t="s">
        <v>261</v>
      </c>
      <c r="C4" s="195" t="s">
        <v>262</v>
      </c>
      <c r="D4" s="191" t="s">
        <v>263</v>
      </c>
      <c r="G4" s="254"/>
      <c r="H4" s="254"/>
      <c r="I4" s="254"/>
      <c r="J4" s="254"/>
      <c r="K4" s="254"/>
      <c r="L4" s="254"/>
      <c r="M4" s="254"/>
      <c r="N4" s="254"/>
      <c r="O4" s="254"/>
      <c r="P4" s="254"/>
      <c r="X4" s="193"/>
      <c r="Y4" s="193"/>
      <c r="Z4" s="193"/>
    </row>
    <row r="5">
      <c r="A5" s="107">
        <v>2.0</v>
      </c>
      <c r="B5" s="196" t="s">
        <v>264</v>
      </c>
      <c r="C5" s="196" t="s">
        <v>265</v>
      </c>
      <c r="D5" s="197" t="s">
        <v>263</v>
      </c>
      <c r="E5" s="198"/>
      <c r="F5" s="107" t="s">
        <v>160</v>
      </c>
      <c r="G5" s="254" t="s">
        <v>173</v>
      </c>
      <c r="H5" s="254"/>
      <c r="I5" s="254" t="s">
        <v>173</v>
      </c>
      <c r="J5" s="254"/>
      <c r="K5" s="254" t="s">
        <v>173</v>
      </c>
      <c r="L5" s="254"/>
      <c r="M5" s="254" t="s">
        <v>173</v>
      </c>
      <c r="N5" s="254"/>
      <c r="O5" s="254"/>
      <c r="P5" s="254"/>
      <c r="X5" s="199"/>
      <c r="Y5" s="199"/>
      <c r="Z5" s="199"/>
    </row>
    <row r="6">
      <c r="B6" s="196" t="s">
        <v>266</v>
      </c>
      <c r="C6" s="196" t="s">
        <v>267</v>
      </c>
      <c r="D6" s="197" t="s">
        <v>263</v>
      </c>
      <c r="G6" s="254"/>
      <c r="H6" s="254"/>
      <c r="I6" s="254"/>
      <c r="J6" s="254"/>
      <c r="K6" s="254"/>
      <c r="M6" s="254"/>
      <c r="N6" s="254"/>
      <c r="O6" s="254"/>
      <c r="P6" s="254"/>
      <c r="X6" s="199"/>
      <c r="Y6" s="199"/>
      <c r="Z6" s="199"/>
    </row>
    <row r="7">
      <c r="B7" s="196" t="s">
        <v>268</v>
      </c>
      <c r="C7" s="196" t="s">
        <v>269</v>
      </c>
      <c r="D7" s="197" t="s">
        <v>158</v>
      </c>
      <c r="G7" s="254"/>
      <c r="H7" s="254"/>
      <c r="I7" s="254"/>
      <c r="J7" s="254"/>
      <c r="K7" s="254"/>
      <c r="M7" s="254"/>
      <c r="N7" s="254"/>
      <c r="O7" s="254" t="s">
        <v>160</v>
      </c>
      <c r="P7" s="254" t="s">
        <v>190</v>
      </c>
      <c r="X7" s="193"/>
      <c r="Y7" s="193"/>
      <c r="Z7" s="193"/>
    </row>
    <row r="8">
      <c r="A8" s="94">
        <v>3.0</v>
      </c>
      <c r="B8" s="195" t="s">
        <v>270</v>
      </c>
      <c r="C8" s="195" t="s">
        <v>271</v>
      </c>
      <c r="D8" s="191" t="s">
        <v>263</v>
      </c>
      <c r="E8" s="198"/>
      <c r="F8" s="94" t="s">
        <v>160</v>
      </c>
      <c r="G8" s="254" t="s">
        <v>173</v>
      </c>
      <c r="H8" s="254"/>
      <c r="I8" s="254" t="s">
        <v>173</v>
      </c>
      <c r="J8" s="254"/>
      <c r="K8" s="254" t="s">
        <v>173</v>
      </c>
      <c r="M8" s="254" t="s">
        <v>173</v>
      </c>
      <c r="N8" s="254"/>
      <c r="O8" s="254"/>
      <c r="P8" s="254" t="s">
        <v>414</v>
      </c>
      <c r="X8" s="199"/>
      <c r="Y8" s="199"/>
      <c r="Z8" s="199"/>
    </row>
    <row r="9">
      <c r="B9" s="195" t="s">
        <v>257</v>
      </c>
      <c r="C9" s="195" t="s">
        <v>272</v>
      </c>
      <c r="D9" s="191" t="s">
        <v>263</v>
      </c>
      <c r="G9" s="254"/>
      <c r="H9" s="254"/>
      <c r="I9" s="254"/>
      <c r="J9" s="254"/>
      <c r="K9" s="254"/>
      <c r="M9" s="254"/>
      <c r="N9" s="254"/>
      <c r="O9" s="254"/>
      <c r="P9" s="254" t="s">
        <v>412</v>
      </c>
      <c r="R9" s="200" t="s">
        <v>273</v>
      </c>
      <c r="S9" s="201">
        <v>17.0</v>
      </c>
      <c r="T9" s="202">
        <f>S9*3</f>
        <v>51</v>
      </c>
      <c r="U9" s="203"/>
      <c r="V9" s="203"/>
      <c r="W9" s="204"/>
      <c r="X9" s="205"/>
      <c r="Y9" s="199"/>
      <c r="Z9" s="199"/>
    </row>
    <row r="10">
      <c r="B10" s="195" t="s">
        <v>274</v>
      </c>
      <c r="C10" s="195" t="s">
        <v>275</v>
      </c>
      <c r="D10" s="191" t="s">
        <v>158</v>
      </c>
      <c r="G10" s="254"/>
      <c r="H10" s="254"/>
      <c r="I10" s="254"/>
      <c r="J10" s="254"/>
      <c r="N10" s="254"/>
      <c r="O10" s="254"/>
      <c r="P10" s="254" t="s">
        <v>182</v>
      </c>
      <c r="R10" s="206"/>
      <c r="S10" s="207"/>
      <c r="T10" s="113"/>
      <c r="U10" s="113"/>
      <c r="V10" s="113"/>
      <c r="W10" s="208"/>
      <c r="X10" s="209"/>
      <c r="Y10" s="199"/>
      <c r="Z10" s="199"/>
    </row>
    <row r="11" ht="15.75" customHeight="1">
      <c r="A11" s="136">
        <v>4.0</v>
      </c>
      <c r="B11" s="196" t="s">
        <v>276</v>
      </c>
      <c r="C11" s="196" t="s">
        <v>277</v>
      </c>
      <c r="D11" s="197" t="s">
        <v>263</v>
      </c>
      <c r="E11" s="198"/>
      <c r="F11" s="107" t="s">
        <v>160</v>
      </c>
      <c r="G11" s="258" t="s">
        <v>173</v>
      </c>
      <c r="H11" s="254"/>
      <c r="I11" s="258" t="s">
        <v>173</v>
      </c>
      <c r="J11" s="254"/>
      <c r="K11" s="198" t="s">
        <v>173</v>
      </c>
      <c r="M11" s="198" t="s">
        <v>173</v>
      </c>
      <c r="N11" s="254"/>
      <c r="O11" s="254"/>
      <c r="P11" s="254"/>
      <c r="R11" s="206"/>
      <c r="S11" s="207"/>
      <c r="T11" s="210" t="s">
        <v>278</v>
      </c>
      <c r="U11" s="210" t="s">
        <v>279</v>
      </c>
      <c r="V11" s="210" t="s">
        <v>280</v>
      </c>
      <c r="W11" s="211" t="s">
        <v>281</v>
      </c>
      <c r="X11" s="212" t="s">
        <v>282</v>
      </c>
      <c r="Y11" s="199"/>
      <c r="Z11" s="199"/>
    </row>
    <row r="12">
      <c r="B12" s="196" t="s">
        <v>100</v>
      </c>
      <c r="C12" s="196" t="s">
        <v>283</v>
      </c>
      <c r="D12" s="197" t="s">
        <v>263</v>
      </c>
      <c r="G12" s="254"/>
      <c r="H12" s="254"/>
      <c r="I12" s="254"/>
      <c r="J12" s="254"/>
      <c r="N12" s="254"/>
      <c r="O12" s="254"/>
      <c r="P12" s="254"/>
      <c r="R12" s="213" t="s">
        <v>162</v>
      </c>
      <c r="S12" s="13"/>
      <c r="T12" s="26">
        <v>13.0</v>
      </c>
      <c r="U12" s="214">
        <f t="shared" ref="U12:U19" si="1">T12*$S$9/$T$27</f>
        <v>3.25</v>
      </c>
      <c r="V12" s="215">
        <f t="shared" ref="V12:V19" si="2">round(U12,0)</f>
        <v>3</v>
      </c>
      <c r="W12" s="216">
        <v>3.0</v>
      </c>
      <c r="X12" s="209">
        <f>COUNTIF(#REF!,"JOAN")</f>
        <v>0</v>
      </c>
      <c r="Y12" s="199"/>
      <c r="Z12" s="199"/>
    </row>
    <row r="13">
      <c r="B13" s="196" t="s">
        <v>264</v>
      </c>
      <c r="C13" s="196" t="s">
        <v>284</v>
      </c>
      <c r="D13" s="197" t="s">
        <v>263</v>
      </c>
      <c r="G13" s="254"/>
      <c r="H13" s="254"/>
      <c r="I13" s="254"/>
      <c r="J13" s="254"/>
      <c r="K13" s="254"/>
      <c r="M13" s="254"/>
      <c r="N13" s="254"/>
      <c r="O13" s="254"/>
      <c r="P13" s="254"/>
      <c r="R13" s="217" t="s">
        <v>191</v>
      </c>
      <c r="S13" s="22"/>
      <c r="T13" s="26">
        <v>11.0</v>
      </c>
      <c r="U13" s="214">
        <f t="shared" si="1"/>
        <v>2.75</v>
      </c>
      <c r="V13" s="215">
        <f t="shared" si="2"/>
        <v>3</v>
      </c>
      <c r="W13" s="218">
        <v>3.0</v>
      </c>
      <c r="X13" s="209">
        <f>COUNTIF(#REF!,"DAVID")</f>
        <v>0</v>
      </c>
      <c r="Y13" s="199"/>
      <c r="Z13" s="199"/>
    </row>
    <row r="14" ht="14.25" customHeight="1">
      <c r="A14" s="143">
        <v>5.0</v>
      </c>
      <c r="B14" s="195" t="s">
        <v>285</v>
      </c>
      <c r="C14" s="195" t="s">
        <v>286</v>
      </c>
      <c r="D14" s="191" t="s">
        <v>263</v>
      </c>
      <c r="E14" s="198"/>
      <c r="F14" s="94" t="s">
        <v>160</v>
      </c>
      <c r="G14" s="254" t="s">
        <v>173</v>
      </c>
      <c r="H14" s="254"/>
      <c r="I14" s="254" t="s">
        <v>173</v>
      </c>
      <c r="J14" s="254"/>
      <c r="K14" s="254" t="s">
        <v>173</v>
      </c>
      <c r="M14" s="254" t="s">
        <v>173</v>
      </c>
      <c r="N14" s="254"/>
      <c r="O14" s="254"/>
      <c r="P14" s="254"/>
      <c r="Q14" s="219"/>
      <c r="R14" s="217" t="s">
        <v>175</v>
      </c>
      <c r="S14" s="22"/>
      <c r="T14" s="26">
        <v>11.0</v>
      </c>
      <c r="U14" s="214">
        <f t="shared" si="1"/>
        <v>2.75</v>
      </c>
      <c r="V14" s="215">
        <f t="shared" si="2"/>
        <v>3</v>
      </c>
      <c r="W14" s="218">
        <v>3.0</v>
      </c>
      <c r="X14" s="209">
        <f>COUNTIF(#REF!,"VANESA")</f>
        <v>0</v>
      </c>
      <c r="Y14" s="199"/>
      <c r="Z14" s="199"/>
    </row>
    <row r="15">
      <c r="B15" s="195" t="s">
        <v>287</v>
      </c>
      <c r="C15" s="195" t="s">
        <v>288</v>
      </c>
      <c r="D15" s="191" t="s">
        <v>263</v>
      </c>
      <c r="G15" s="254"/>
      <c r="H15" s="254"/>
      <c r="I15" s="254"/>
      <c r="J15" s="254"/>
      <c r="K15" s="254"/>
      <c r="M15" s="254"/>
      <c r="N15" s="254"/>
      <c r="O15" s="254"/>
      <c r="P15" s="254"/>
      <c r="R15" s="220" t="s">
        <v>171</v>
      </c>
      <c r="S15" s="22"/>
      <c r="T15" s="26">
        <v>10.0</v>
      </c>
      <c r="U15" s="214">
        <f t="shared" si="1"/>
        <v>2.5</v>
      </c>
      <c r="V15" s="215">
        <f t="shared" si="2"/>
        <v>3</v>
      </c>
      <c r="W15" s="216">
        <v>2.0</v>
      </c>
      <c r="X15" s="209">
        <f>COUNTIF(#REF!,"PAU")</f>
        <v>0</v>
      </c>
      <c r="Y15" s="199"/>
      <c r="Z15" s="199"/>
    </row>
    <row r="16">
      <c r="B16" s="195" t="s">
        <v>289</v>
      </c>
      <c r="C16" s="195" t="s">
        <v>290</v>
      </c>
      <c r="D16" s="191" t="s">
        <v>158</v>
      </c>
      <c r="G16" s="254"/>
      <c r="H16" s="254"/>
      <c r="I16" s="254"/>
      <c r="J16" s="254"/>
      <c r="K16" s="254"/>
      <c r="M16" s="254"/>
      <c r="N16" s="254"/>
      <c r="O16" s="254"/>
      <c r="P16" s="254"/>
      <c r="R16" s="220" t="s">
        <v>167</v>
      </c>
      <c r="S16" s="22"/>
      <c r="T16" s="26">
        <v>6.0</v>
      </c>
      <c r="U16" s="214">
        <f t="shared" si="1"/>
        <v>1.5</v>
      </c>
      <c r="V16" s="215">
        <f t="shared" si="2"/>
        <v>2</v>
      </c>
      <c r="W16" s="218">
        <v>2.0</v>
      </c>
      <c r="X16" s="209">
        <f>COUNTIF(#REF!,"OSCAR")</f>
        <v>0</v>
      </c>
      <c r="Y16" s="199"/>
      <c r="Z16" s="199"/>
    </row>
    <row r="17">
      <c r="A17" s="107">
        <v>6.0</v>
      </c>
      <c r="B17" s="196" t="s">
        <v>291</v>
      </c>
      <c r="C17" s="196" t="s">
        <v>292</v>
      </c>
      <c r="D17" s="197" t="s">
        <v>263</v>
      </c>
      <c r="E17" s="198"/>
      <c r="F17" s="107" t="s">
        <v>160</v>
      </c>
      <c r="G17" s="254" t="s">
        <v>173</v>
      </c>
      <c r="H17" s="254" t="s">
        <v>417</v>
      </c>
      <c r="I17" s="254" t="s">
        <v>173</v>
      </c>
      <c r="J17" s="254"/>
      <c r="K17" s="254"/>
      <c r="M17" s="254"/>
      <c r="N17" s="254"/>
      <c r="O17" s="254" t="s">
        <v>390</v>
      </c>
      <c r="P17" s="254" t="s">
        <v>386</v>
      </c>
      <c r="R17" s="221" t="s">
        <v>112</v>
      </c>
      <c r="S17" s="22"/>
      <c r="T17" s="222">
        <v>6.0</v>
      </c>
      <c r="U17" s="214">
        <f t="shared" si="1"/>
        <v>1.5</v>
      </c>
      <c r="V17" s="215">
        <f t="shared" si="2"/>
        <v>2</v>
      </c>
      <c r="W17" s="218">
        <v>2.0</v>
      </c>
      <c r="X17" s="209">
        <f>COUNTIF(#REF!,"ROGER")</f>
        <v>0</v>
      </c>
      <c r="Y17" s="199"/>
      <c r="Z17" s="199"/>
    </row>
    <row r="18">
      <c r="B18" s="196" t="s">
        <v>293</v>
      </c>
      <c r="C18" s="196" t="s">
        <v>294</v>
      </c>
      <c r="D18" s="197" t="s">
        <v>263</v>
      </c>
      <c r="G18" s="254"/>
      <c r="H18" s="254"/>
      <c r="I18" s="254"/>
      <c r="J18" s="254"/>
      <c r="K18" s="254"/>
      <c r="M18" s="254"/>
      <c r="N18" s="254"/>
      <c r="O18" s="254"/>
      <c r="P18" s="254" t="s">
        <v>100</v>
      </c>
      <c r="R18" s="221" t="s">
        <v>295</v>
      </c>
      <c r="S18" s="22"/>
      <c r="T18" s="26">
        <v>6.0</v>
      </c>
      <c r="U18" s="214">
        <f t="shared" si="1"/>
        <v>1.5</v>
      </c>
      <c r="V18" s="215">
        <f t="shared" si="2"/>
        <v>2</v>
      </c>
      <c r="W18" s="216">
        <v>1.0</v>
      </c>
      <c r="X18" s="209">
        <f>COUNTIF(#REF!,"JAVIER")</f>
        <v>0</v>
      </c>
      <c r="Y18" s="199"/>
      <c r="Z18" s="199"/>
    </row>
    <row r="19">
      <c r="B19" s="196" t="s">
        <v>296</v>
      </c>
      <c r="C19" s="196" t="s">
        <v>297</v>
      </c>
      <c r="D19" s="197" t="s">
        <v>159</v>
      </c>
      <c r="G19" s="254"/>
      <c r="H19" s="254"/>
      <c r="I19" s="254"/>
      <c r="J19" s="254"/>
      <c r="K19" s="254"/>
      <c r="L19" s="254"/>
      <c r="M19" s="254"/>
      <c r="N19" s="254"/>
      <c r="O19" s="254"/>
      <c r="P19" s="254" t="s">
        <v>413</v>
      </c>
      <c r="Q19" s="219"/>
      <c r="R19" s="221" t="s">
        <v>186</v>
      </c>
      <c r="S19" s="223"/>
      <c r="T19" s="222">
        <v>5.0</v>
      </c>
      <c r="U19" s="214">
        <f t="shared" si="1"/>
        <v>1.25</v>
      </c>
      <c r="V19" s="215">
        <f t="shared" si="2"/>
        <v>1</v>
      </c>
      <c r="W19" s="216">
        <v>1.0</v>
      </c>
      <c r="X19" s="209">
        <f>COUNTIF(#REF!,"ROMÀ")</f>
        <v>0</v>
      </c>
      <c r="Y19" s="199"/>
      <c r="Z19" s="199"/>
    </row>
    <row r="20">
      <c r="A20" s="143">
        <v>7.0</v>
      </c>
      <c r="B20" s="195" t="s">
        <v>343</v>
      </c>
      <c r="C20" s="195" t="s">
        <v>344</v>
      </c>
      <c r="D20" s="191" t="s">
        <v>263</v>
      </c>
      <c r="E20" s="198"/>
      <c r="F20" s="94" t="s">
        <v>160</v>
      </c>
      <c r="G20" s="254" t="s">
        <v>173</v>
      </c>
      <c r="H20" s="254" t="s">
        <v>417</v>
      </c>
      <c r="I20" s="254" t="s">
        <v>173</v>
      </c>
      <c r="J20" s="254"/>
      <c r="K20" s="254"/>
      <c r="L20" s="254"/>
      <c r="M20" s="254"/>
      <c r="N20" s="254"/>
      <c r="O20" s="254"/>
      <c r="P20" s="254" t="s">
        <v>411</v>
      </c>
      <c r="R20" s="261"/>
      <c r="S20" s="262"/>
      <c r="T20" s="262"/>
      <c r="U20" s="113"/>
      <c r="V20" s="215"/>
      <c r="W20" s="263"/>
      <c r="X20" s="264"/>
      <c r="Y20" s="199"/>
      <c r="Z20" s="199"/>
    </row>
    <row r="21">
      <c r="B21" s="195" t="s">
        <v>345</v>
      </c>
      <c r="C21" s="195" t="s">
        <v>346</v>
      </c>
      <c r="D21" s="191" t="s">
        <v>263</v>
      </c>
      <c r="G21" s="254"/>
      <c r="H21" s="254"/>
      <c r="I21" s="254"/>
      <c r="J21" s="254"/>
      <c r="K21" s="254"/>
      <c r="L21" s="254"/>
      <c r="M21" s="254"/>
      <c r="N21" s="254"/>
      <c r="O21" s="254"/>
      <c r="P21" s="254"/>
      <c r="R21" s="261"/>
      <c r="S21" s="262"/>
      <c r="T21" s="262"/>
      <c r="U21" s="113"/>
      <c r="V21" s="215"/>
      <c r="W21" s="263"/>
      <c r="X21" s="264"/>
      <c r="Y21" s="199"/>
      <c r="Z21" s="199"/>
    </row>
    <row r="22">
      <c r="B22" s="190" t="s">
        <v>347</v>
      </c>
      <c r="C22" s="190" t="s">
        <v>348</v>
      </c>
      <c r="D22" s="191" t="s">
        <v>159</v>
      </c>
      <c r="G22" s="254"/>
      <c r="H22" s="254"/>
      <c r="I22" s="254"/>
      <c r="J22" s="254"/>
      <c r="K22" s="254"/>
      <c r="L22" s="254"/>
      <c r="M22" s="254"/>
      <c r="N22" s="254"/>
      <c r="O22" s="254"/>
      <c r="P22" s="254"/>
      <c r="R22" s="261"/>
      <c r="S22" s="262"/>
      <c r="T22" s="262"/>
      <c r="U22" s="113"/>
      <c r="V22" s="215"/>
      <c r="W22" s="263"/>
      <c r="X22" s="264"/>
      <c r="Y22" s="199"/>
      <c r="Z22" s="199"/>
    </row>
    <row r="23">
      <c r="A23" s="136">
        <v>8.0</v>
      </c>
      <c r="B23" s="245" t="s">
        <v>254</v>
      </c>
      <c r="C23" s="245" t="s">
        <v>435</v>
      </c>
      <c r="D23" s="265" t="s">
        <v>159</v>
      </c>
      <c r="E23" s="198" t="s">
        <v>436</v>
      </c>
      <c r="F23" s="107" t="s">
        <v>160</v>
      </c>
      <c r="G23" s="254" t="s">
        <v>173</v>
      </c>
      <c r="H23" s="254" t="s">
        <v>417</v>
      </c>
      <c r="I23" s="254" t="s">
        <v>173</v>
      </c>
      <c r="J23" s="254"/>
      <c r="K23" s="254"/>
      <c r="L23" s="254"/>
      <c r="M23" s="254"/>
      <c r="N23" s="254"/>
      <c r="O23" s="254"/>
      <c r="P23" s="254"/>
      <c r="X23" s="199"/>
      <c r="Y23" s="199"/>
      <c r="Z23" s="199"/>
    </row>
    <row r="24">
      <c r="B24" s="196" t="s">
        <v>323</v>
      </c>
      <c r="C24" s="196" t="s">
        <v>334</v>
      </c>
      <c r="D24" s="197" t="s">
        <v>263</v>
      </c>
      <c r="G24" s="254"/>
      <c r="H24" s="254"/>
      <c r="I24" s="254"/>
      <c r="J24" s="254"/>
      <c r="K24" s="254"/>
      <c r="L24" s="254"/>
      <c r="M24" s="254"/>
      <c r="N24" s="254"/>
      <c r="O24" s="254"/>
      <c r="P24" s="254"/>
      <c r="X24" s="199"/>
      <c r="Y24" s="199"/>
      <c r="Z24" s="199"/>
    </row>
    <row r="25">
      <c r="B25" s="196" t="s">
        <v>339</v>
      </c>
      <c r="C25" s="196" t="s">
        <v>340</v>
      </c>
      <c r="D25" s="197" t="s">
        <v>263</v>
      </c>
      <c r="G25" s="254"/>
      <c r="H25" s="254"/>
      <c r="I25" s="254"/>
      <c r="J25" s="254"/>
      <c r="K25" s="254"/>
      <c r="L25" s="254"/>
      <c r="M25" s="254"/>
      <c r="N25" s="254"/>
      <c r="O25" s="254"/>
      <c r="P25" s="254"/>
      <c r="X25" s="234"/>
      <c r="Y25" s="234"/>
      <c r="Z25" s="234"/>
    </row>
    <row r="26">
      <c r="B26" s="235" t="s">
        <v>341</v>
      </c>
      <c r="C26" s="235" t="s">
        <v>342</v>
      </c>
      <c r="D26" s="197" t="s">
        <v>159</v>
      </c>
      <c r="G26" s="254"/>
      <c r="H26" s="254"/>
      <c r="I26" s="254"/>
      <c r="J26" s="254"/>
      <c r="K26" s="254"/>
      <c r="L26" s="254"/>
      <c r="M26" s="254"/>
      <c r="N26" s="254"/>
      <c r="O26" s="254"/>
      <c r="P26" s="254"/>
      <c r="X26" s="234"/>
      <c r="Y26" s="234"/>
      <c r="Z26" s="234"/>
    </row>
    <row r="27">
      <c r="A27" s="147">
        <v>9.0</v>
      </c>
      <c r="B27" s="195" t="s">
        <v>298</v>
      </c>
      <c r="C27" s="195" t="s">
        <v>299</v>
      </c>
      <c r="D27" s="191" t="s">
        <v>159</v>
      </c>
      <c r="E27" s="198"/>
      <c r="F27" s="94" t="s">
        <v>390</v>
      </c>
      <c r="G27" s="254" t="s">
        <v>173</v>
      </c>
      <c r="H27" s="254" t="s">
        <v>173</v>
      </c>
      <c r="I27" s="254" t="s">
        <v>173</v>
      </c>
      <c r="J27" s="254"/>
      <c r="K27" s="254"/>
      <c r="L27" s="254" t="s">
        <v>173</v>
      </c>
      <c r="M27" s="254"/>
      <c r="N27" s="254"/>
      <c r="O27" s="254"/>
      <c r="P27" s="254"/>
      <c r="R27" s="224"/>
      <c r="S27" s="225" t="s">
        <v>300</v>
      </c>
      <c r="T27" s="225">
        <f>sum(T12:T19)</f>
        <v>68</v>
      </c>
      <c r="U27" s="226"/>
      <c r="V27" s="227">
        <f t="shared" ref="V27:X27" si="3">SUM(V12:V19)</f>
        <v>19</v>
      </c>
      <c r="W27" s="228">
        <f t="shared" si="3"/>
        <v>17</v>
      </c>
      <c r="X27" s="229">
        <f t="shared" si="3"/>
        <v>0</v>
      </c>
      <c r="Y27" s="199"/>
      <c r="Z27" s="199"/>
    </row>
    <row r="28">
      <c r="B28" s="195" t="s">
        <v>301</v>
      </c>
      <c r="C28" s="195" t="s">
        <v>302</v>
      </c>
      <c r="D28" s="191" t="s">
        <v>159</v>
      </c>
      <c r="G28" s="254"/>
      <c r="H28" s="254"/>
      <c r="I28" s="254"/>
      <c r="J28" s="254"/>
      <c r="K28" s="254"/>
      <c r="L28" s="254"/>
      <c r="M28" s="254"/>
      <c r="N28" s="254"/>
      <c r="O28" s="254"/>
      <c r="P28" s="254"/>
      <c r="X28" s="199"/>
      <c r="Y28" s="199"/>
      <c r="Z28" s="199"/>
    </row>
    <row r="29">
      <c r="B29" s="195" t="s">
        <v>303</v>
      </c>
      <c r="C29" s="195" t="s">
        <v>304</v>
      </c>
      <c r="D29" s="191" t="s">
        <v>159</v>
      </c>
      <c r="G29" s="254"/>
      <c r="H29" s="254"/>
      <c r="I29" s="254"/>
      <c r="J29" s="254"/>
      <c r="K29" s="254"/>
      <c r="L29" s="254"/>
      <c r="M29" s="254"/>
      <c r="N29" s="254"/>
      <c r="O29" s="254"/>
      <c r="P29" s="254"/>
      <c r="X29" s="199"/>
      <c r="Y29" s="199"/>
      <c r="Z29" s="199"/>
    </row>
    <row r="30">
      <c r="A30" s="155">
        <v>10.0</v>
      </c>
      <c r="B30" s="196" t="s">
        <v>305</v>
      </c>
      <c r="C30" s="196" t="s">
        <v>306</v>
      </c>
      <c r="D30" s="197" t="s">
        <v>159</v>
      </c>
      <c r="E30" s="198"/>
      <c r="F30" s="107" t="s">
        <v>390</v>
      </c>
      <c r="G30" s="254" t="s">
        <v>173</v>
      </c>
      <c r="H30" s="254" t="s">
        <v>173</v>
      </c>
      <c r="I30" s="254" t="s">
        <v>173</v>
      </c>
      <c r="J30" s="254"/>
      <c r="K30" s="254"/>
      <c r="L30" s="254" t="s">
        <v>173</v>
      </c>
      <c r="M30" s="254"/>
      <c r="N30" s="254"/>
      <c r="O30" s="254"/>
      <c r="P30" s="254"/>
      <c r="X30" s="199"/>
      <c r="Y30" s="199"/>
      <c r="Z30" s="199"/>
    </row>
    <row r="31">
      <c r="B31" s="196" t="s">
        <v>307</v>
      </c>
      <c r="C31" s="196" t="s">
        <v>308</v>
      </c>
      <c r="D31" s="197" t="s">
        <v>159</v>
      </c>
      <c r="G31" s="254"/>
      <c r="H31" s="254"/>
      <c r="I31" s="254"/>
      <c r="J31" s="254"/>
      <c r="K31" s="254"/>
      <c r="L31" s="254"/>
      <c r="M31" s="254"/>
      <c r="N31" s="254"/>
      <c r="O31" s="254"/>
      <c r="P31" s="254"/>
      <c r="X31" s="230"/>
      <c r="Y31" s="230"/>
      <c r="Z31" s="230"/>
    </row>
    <row r="32">
      <c r="B32" s="196" t="s">
        <v>309</v>
      </c>
      <c r="C32" s="196" t="s">
        <v>310</v>
      </c>
      <c r="D32" s="197" t="s">
        <v>159</v>
      </c>
      <c r="G32" s="254"/>
      <c r="H32" s="254"/>
      <c r="I32" s="254"/>
      <c r="J32" s="254"/>
      <c r="K32" s="254"/>
      <c r="L32" s="254"/>
      <c r="M32" s="254"/>
      <c r="N32" s="254"/>
      <c r="O32" s="254"/>
      <c r="P32" s="254"/>
      <c r="X32" s="231"/>
      <c r="Y32" s="231"/>
      <c r="Z32" s="231"/>
    </row>
    <row r="33">
      <c r="A33" s="143">
        <v>11.0</v>
      </c>
      <c r="B33" s="195" t="s">
        <v>315</v>
      </c>
      <c r="C33" s="195" t="s">
        <v>317</v>
      </c>
      <c r="D33" s="191" t="s">
        <v>159</v>
      </c>
      <c r="E33" s="198"/>
      <c r="F33" s="94" t="s">
        <v>390</v>
      </c>
      <c r="G33" s="254" t="s">
        <v>173</v>
      </c>
      <c r="H33" s="254" t="s">
        <v>417</v>
      </c>
      <c r="I33" s="254" t="s">
        <v>173</v>
      </c>
      <c r="J33" s="254"/>
      <c r="K33" s="254"/>
      <c r="L33" s="254"/>
      <c r="M33" s="254"/>
      <c r="N33" s="254"/>
      <c r="O33" s="254"/>
      <c r="P33" s="254"/>
      <c r="X33" s="232"/>
      <c r="Y33" s="232"/>
      <c r="Z33" s="232"/>
    </row>
    <row r="34">
      <c r="B34" s="195" t="s">
        <v>323</v>
      </c>
      <c r="C34" s="195" t="s">
        <v>325</v>
      </c>
      <c r="D34" s="191" t="s">
        <v>263</v>
      </c>
      <c r="G34" s="254"/>
      <c r="H34" s="254"/>
      <c r="I34" s="254"/>
      <c r="J34" s="254"/>
      <c r="K34" s="254"/>
      <c r="L34" s="254"/>
      <c r="M34" s="254"/>
      <c r="N34" s="254"/>
      <c r="O34" s="254"/>
      <c r="P34" s="254"/>
      <c r="X34" s="233"/>
      <c r="Y34" s="233"/>
      <c r="Z34" s="233"/>
    </row>
    <row r="35">
      <c r="B35" s="195" t="s">
        <v>329</v>
      </c>
      <c r="C35" s="195" t="s">
        <v>330</v>
      </c>
      <c r="D35" s="191" t="s">
        <v>159</v>
      </c>
      <c r="G35" s="254"/>
      <c r="H35" s="254"/>
      <c r="I35" s="254"/>
      <c r="J35" s="254"/>
      <c r="K35" s="254"/>
      <c r="L35" s="254"/>
      <c r="M35" s="254"/>
      <c r="N35" s="254"/>
      <c r="O35" s="254"/>
      <c r="P35" s="254"/>
      <c r="X35" s="199"/>
      <c r="Y35" s="199"/>
      <c r="Z35" s="199"/>
    </row>
    <row r="36">
      <c r="A36" s="169">
        <v>12.0</v>
      </c>
      <c r="B36" s="236" t="s">
        <v>305</v>
      </c>
      <c r="C36" s="236" t="s">
        <v>349</v>
      </c>
      <c r="D36" s="197" t="s">
        <v>158</v>
      </c>
      <c r="E36" s="198"/>
      <c r="F36" s="107" t="s">
        <v>390</v>
      </c>
      <c r="G36" s="254"/>
      <c r="H36" s="254" t="s">
        <v>173</v>
      </c>
      <c r="I36" s="254"/>
      <c r="J36" s="254" t="s">
        <v>173</v>
      </c>
      <c r="K36" s="254"/>
      <c r="L36" s="254"/>
      <c r="M36" s="254"/>
      <c r="N36" s="254" t="s">
        <v>173</v>
      </c>
      <c r="O36" s="254"/>
      <c r="P36" s="254"/>
      <c r="X36" s="231"/>
      <c r="Y36" s="231"/>
      <c r="Z36" s="231"/>
    </row>
    <row r="37">
      <c r="B37" s="236" t="s">
        <v>329</v>
      </c>
      <c r="C37" s="236" t="s">
        <v>350</v>
      </c>
      <c r="D37" s="197" t="s">
        <v>158</v>
      </c>
      <c r="G37" s="254"/>
      <c r="H37" s="254"/>
      <c r="I37" s="254"/>
      <c r="J37" s="254"/>
      <c r="K37" s="254"/>
      <c r="L37" s="254"/>
      <c r="M37" s="254"/>
      <c r="N37" s="254"/>
      <c r="O37" s="254"/>
      <c r="P37" s="254"/>
      <c r="X37" s="237"/>
      <c r="Y37" s="237"/>
      <c r="Z37" s="237"/>
    </row>
    <row r="38">
      <c r="B38" s="236" t="s">
        <v>341</v>
      </c>
      <c r="C38" s="236" t="s">
        <v>351</v>
      </c>
      <c r="D38" s="197" t="s">
        <v>158</v>
      </c>
      <c r="G38" s="254"/>
      <c r="H38" s="254"/>
      <c r="I38" s="254"/>
      <c r="J38" s="254"/>
      <c r="K38" s="254"/>
      <c r="L38" s="254"/>
      <c r="M38" s="254"/>
      <c r="N38" s="254"/>
      <c r="O38" s="254"/>
      <c r="P38" s="254"/>
      <c r="X38" s="231"/>
      <c r="Y38" s="231"/>
      <c r="Z38" s="231"/>
    </row>
    <row r="39">
      <c r="A39" s="147">
        <v>13.0</v>
      </c>
      <c r="B39" s="190" t="s">
        <v>352</v>
      </c>
      <c r="C39" s="190" t="s">
        <v>353</v>
      </c>
      <c r="D39" s="191" t="s">
        <v>158</v>
      </c>
      <c r="E39" s="198"/>
      <c r="F39" s="94" t="s">
        <v>390</v>
      </c>
      <c r="G39" s="254"/>
      <c r="H39" s="254" t="s">
        <v>173</v>
      </c>
      <c r="I39" s="254"/>
      <c r="J39" s="254"/>
      <c r="K39" s="254"/>
      <c r="L39" s="254"/>
      <c r="M39" s="254"/>
      <c r="N39" s="254"/>
      <c r="O39" s="254"/>
      <c r="P39" s="254"/>
      <c r="X39" s="231"/>
      <c r="Y39" s="231"/>
      <c r="Z39" s="231"/>
    </row>
    <row r="40">
      <c r="B40" s="190" t="s">
        <v>352</v>
      </c>
      <c r="C40" s="190" t="s">
        <v>354</v>
      </c>
      <c r="D40" s="191" t="s">
        <v>158</v>
      </c>
      <c r="G40" s="254"/>
      <c r="H40" s="254"/>
      <c r="I40" s="254"/>
      <c r="J40" s="254" t="s">
        <v>173</v>
      </c>
      <c r="K40" s="254"/>
      <c r="L40" s="254"/>
      <c r="M40" s="254"/>
      <c r="N40" s="254" t="s">
        <v>173</v>
      </c>
      <c r="O40" s="254"/>
      <c r="P40" s="254"/>
      <c r="X40" s="231"/>
      <c r="Y40" s="231"/>
      <c r="Z40" s="231"/>
    </row>
    <row r="41">
      <c r="B41" s="190" t="s">
        <v>355</v>
      </c>
      <c r="C41" s="190" t="s">
        <v>356</v>
      </c>
      <c r="D41" s="191" t="s">
        <v>158</v>
      </c>
      <c r="G41" s="254"/>
      <c r="H41" s="254"/>
      <c r="I41" s="254"/>
      <c r="J41" s="254"/>
      <c r="K41" s="254"/>
      <c r="L41" s="254"/>
      <c r="M41" s="254"/>
      <c r="N41" s="254"/>
      <c r="O41" s="254"/>
      <c r="P41" s="254"/>
      <c r="X41" s="231"/>
      <c r="Y41" s="231"/>
      <c r="Z41" s="231"/>
    </row>
    <row r="42">
      <c r="A42" s="169">
        <v>14.0</v>
      </c>
      <c r="B42" s="236" t="s">
        <v>289</v>
      </c>
      <c r="C42" s="236" t="s">
        <v>357</v>
      </c>
      <c r="D42" s="197" t="s">
        <v>158</v>
      </c>
      <c r="E42" s="198"/>
      <c r="F42" s="107" t="s">
        <v>390</v>
      </c>
      <c r="G42" s="254"/>
      <c r="H42" s="254" t="s">
        <v>173</v>
      </c>
      <c r="I42" s="254"/>
      <c r="J42" s="254"/>
      <c r="K42" s="254"/>
      <c r="L42" s="254"/>
      <c r="M42" s="254"/>
      <c r="N42" s="254"/>
      <c r="O42" s="254"/>
      <c r="P42" s="254"/>
      <c r="X42" s="231"/>
      <c r="Y42" s="231"/>
      <c r="Z42" s="231"/>
    </row>
    <row r="43">
      <c r="B43" s="236" t="s">
        <v>358</v>
      </c>
      <c r="C43" s="236" t="s">
        <v>357</v>
      </c>
      <c r="D43" s="197" t="s">
        <v>158</v>
      </c>
      <c r="G43" s="254"/>
      <c r="H43" s="254"/>
      <c r="I43" s="254"/>
      <c r="J43" s="254" t="s">
        <v>173</v>
      </c>
      <c r="K43" s="254"/>
      <c r="L43" s="254"/>
      <c r="M43" s="254"/>
      <c r="N43" s="254" t="s">
        <v>173</v>
      </c>
      <c r="O43" s="254"/>
      <c r="P43" s="254"/>
      <c r="X43" s="231"/>
      <c r="Y43" s="231"/>
      <c r="Z43" s="231"/>
    </row>
    <row r="44">
      <c r="B44" s="236" t="s">
        <v>359</v>
      </c>
      <c r="C44" s="236" t="s">
        <v>360</v>
      </c>
      <c r="D44" s="197" t="s">
        <v>158</v>
      </c>
      <c r="G44" s="254"/>
      <c r="H44" s="254"/>
      <c r="I44" s="254"/>
      <c r="J44" s="254"/>
      <c r="K44" s="254"/>
      <c r="L44" s="254"/>
      <c r="M44" s="254"/>
      <c r="N44" s="254"/>
      <c r="O44" s="254"/>
      <c r="P44" s="254"/>
      <c r="X44" s="231"/>
      <c r="Y44" s="231"/>
      <c r="Z44" s="231"/>
    </row>
    <row r="45">
      <c r="A45" s="147">
        <v>15.0</v>
      </c>
      <c r="B45" s="190" t="s">
        <v>182</v>
      </c>
      <c r="C45" s="190" t="s">
        <v>361</v>
      </c>
      <c r="D45" s="191" t="s">
        <v>158</v>
      </c>
      <c r="E45" s="198"/>
      <c r="F45" s="94" t="s">
        <v>390</v>
      </c>
      <c r="G45" s="254"/>
      <c r="H45" s="254" t="s">
        <v>173</v>
      </c>
      <c r="I45" s="254"/>
      <c r="J45" s="254" t="s">
        <v>173</v>
      </c>
      <c r="K45" s="254"/>
      <c r="L45" s="254"/>
      <c r="M45" s="254"/>
      <c r="N45" s="254" t="s">
        <v>173</v>
      </c>
      <c r="O45" s="254"/>
      <c r="P45" s="254"/>
      <c r="X45" s="231"/>
      <c r="Y45" s="231"/>
      <c r="Z45" s="231"/>
    </row>
    <row r="46">
      <c r="B46" s="190" t="s">
        <v>362</v>
      </c>
      <c r="C46" s="190" t="s">
        <v>363</v>
      </c>
      <c r="D46" s="191" t="s">
        <v>158</v>
      </c>
      <c r="G46" s="254"/>
      <c r="H46" s="254"/>
      <c r="I46" s="254"/>
      <c r="J46" s="254"/>
      <c r="K46" s="254"/>
      <c r="L46" s="254"/>
      <c r="M46" s="254"/>
      <c r="N46" s="254"/>
      <c r="O46" s="254"/>
      <c r="P46" s="254"/>
      <c r="X46" s="231"/>
      <c r="Y46" s="231"/>
      <c r="Z46" s="231"/>
    </row>
    <row r="47">
      <c r="B47" s="190" t="s">
        <v>364</v>
      </c>
      <c r="C47" s="190" t="s">
        <v>365</v>
      </c>
      <c r="D47" s="191" t="s">
        <v>159</v>
      </c>
      <c r="G47" s="254"/>
      <c r="H47" s="254"/>
      <c r="I47" s="254"/>
      <c r="J47" s="254"/>
      <c r="K47" s="254"/>
      <c r="L47" s="254"/>
      <c r="M47" s="254"/>
      <c r="N47" s="254"/>
      <c r="O47" s="254"/>
      <c r="P47" s="254"/>
      <c r="X47" s="231"/>
      <c r="Y47" s="231"/>
      <c r="Z47" s="231"/>
    </row>
    <row r="48">
      <c r="A48" s="169">
        <v>16.0</v>
      </c>
      <c r="B48" s="236" t="s">
        <v>359</v>
      </c>
      <c r="C48" s="236" t="s">
        <v>366</v>
      </c>
      <c r="D48" s="197" t="s">
        <v>159</v>
      </c>
      <c r="E48" s="198"/>
      <c r="F48" s="107" t="s">
        <v>390</v>
      </c>
      <c r="G48" s="254" t="s">
        <v>173</v>
      </c>
      <c r="H48" s="254" t="s">
        <v>173</v>
      </c>
      <c r="I48" s="254" t="s">
        <v>173</v>
      </c>
      <c r="J48" s="254"/>
      <c r="K48" s="254"/>
      <c r="L48" s="254" t="s">
        <v>173</v>
      </c>
      <c r="M48" s="254"/>
      <c r="N48" s="254"/>
      <c r="O48" s="254"/>
      <c r="P48" s="254"/>
      <c r="X48" s="231"/>
      <c r="Y48" s="231"/>
      <c r="Z48" s="231"/>
    </row>
    <row r="49">
      <c r="B49" s="196" t="s">
        <v>367</v>
      </c>
      <c r="C49" s="196" t="s">
        <v>368</v>
      </c>
      <c r="D49" s="197" t="s">
        <v>159</v>
      </c>
      <c r="G49" s="254"/>
      <c r="H49" s="254"/>
      <c r="I49" s="254"/>
      <c r="J49" s="254"/>
      <c r="K49" s="254"/>
      <c r="L49" s="254"/>
      <c r="M49" s="254"/>
      <c r="N49" s="254"/>
      <c r="O49" s="254"/>
      <c r="P49" s="254"/>
      <c r="X49" s="231"/>
      <c r="Y49" s="231"/>
      <c r="Z49" s="231"/>
    </row>
    <row r="50">
      <c r="B50" s="196" t="s">
        <v>287</v>
      </c>
      <c r="C50" s="196" t="s">
        <v>369</v>
      </c>
      <c r="D50" s="197" t="s">
        <v>159</v>
      </c>
      <c r="G50" s="254"/>
      <c r="H50" s="254"/>
      <c r="I50" s="254"/>
      <c r="J50" s="254"/>
      <c r="K50" s="254"/>
      <c r="L50" s="254"/>
      <c r="M50" s="254"/>
      <c r="N50" s="254"/>
      <c r="O50" s="254"/>
      <c r="P50" s="254"/>
      <c r="X50" s="231"/>
      <c r="Y50" s="231"/>
      <c r="Z50" s="231"/>
    </row>
  </sheetData>
  <autoFilter ref="$A$1:$Z$50"/>
  <mergeCells count="55">
    <mergeCell ref="E42:E44"/>
    <mergeCell ref="E45:E47"/>
    <mergeCell ref="E33:E35"/>
    <mergeCell ref="F33:F35"/>
    <mergeCell ref="E36:E38"/>
    <mergeCell ref="F36:F38"/>
    <mergeCell ref="E39:E41"/>
    <mergeCell ref="F39:F41"/>
    <mergeCell ref="F42:F44"/>
    <mergeCell ref="F45:F47"/>
    <mergeCell ref="A2:A4"/>
    <mergeCell ref="E2:E4"/>
    <mergeCell ref="F2:F4"/>
    <mergeCell ref="A5:A7"/>
    <mergeCell ref="F5:F7"/>
    <mergeCell ref="A8:A10"/>
    <mergeCell ref="F11:F13"/>
    <mergeCell ref="R17:S17"/>
    <mergeCell ref="R18:S18"/>
    <mergeCell ref="E8:E10"/>
    <mergeCell ref="F8:F10"/>
    <mergeCell ref="R12:S12"/>
    <mergeCell ref="R13:S13"/>
    <mergeCell ref="R14:S14"/>
    <mergeCell ref="R15:S15"/>
    <mergeCell ref="R16:S16"/>
    <mergeCell ref="E5:E7"/>
    <mergeCell ref="E11:E13"/>
    <mergeCell ref="E14:E16"/>
    <mergeCell ref="F14:F16"/>
    <mergeCell ref="E17:E19"/>
    <mergeCell ref="F17:F19"/>
    <mergeCell ref="F20:F22"/>
    <mergeCell ref="A33:A35"/>
    <mergeCell ref="A36:A38"/>
    <mergeCell ref="A39:A41"/>
    <mergeCell ref="A42:A44"/>
    <mergeCell ref="A45:A47"/>
    <mergeCell ref="A48:A50"/>
    <mergeCell ref="A11:A13"/>
    <mergeCell ref="A14:A16"/>
    <mergeCell ref="A17:A19"/>
    <mergeCell ref="A20:A22"/>
    <mergeCell ref="A23:A26"/>
    <mergeCell ref="A27:A29"/>
    <mergeCell ref="A30:A32"/>
    <mergeCell ref="E48:E50"/>
    <mergeCell ref="F48:F50"/>
    <mergeCell ref="E20:E22"/>
    <mergeCell ref="E23:E26"/>
    <mergeCell ref="F23:F26"/>
    <mergeCell ref="E27:E29"/>
    <mergeCell ref="F27:F29"/>
    <mergeCell ref="E30:E32"/>
    <mergeCell ref="F30:F3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19.5"/>
    <col customWidth="1" min="3" max="3" width="4.88"/>
    <col customWidth="1" min="7" max="7" width="14.75"/>
    <col customWidth="1" min="8" max="8" width="6.38"/>
  </cols>
  <sheetData>
    <row r="2">
      <c r="C2" s="267"/>
      <c r="D2" s="268" t="s">
        <v>442</v>
      </c>
      <c r="E2" s="268" t="s">
        <v>443</v>
      </c>
      <c r="F2" s="268" t="s">
        <v>444</v>
      </c>
    </row>
    <row r="3">
      <c r="C3" s="269">
        <v>8.0</v>
      </c>
      <c r="D3" s="270"/>
      <c r="E3" s="271"/>
      <c r="F3" s="271"/>
    </row>
    <row r="4">
      <c r="C4" s="272"/>
      <c r="D4" s="47"/>
      <c r="E4" s="271"/>
      <c r="F4" s="271"/>
    </row>
    <row r="5">
      <c r="C5" s="273"/>
      <c r="D5" s="76"/>
      <c r="E5" s="274"/>
      <c r="F5" s="274"/>
    </row>
    <row r="6">
      <c r="C6" s="269">
        <v>9.0</v>
      </c>
      <c r="D6" s="271"/>
      <c r="E6" s="271"/>
      <c r="F6" s="81"/>
    </row>
    <row r="7">
      <c r="C7" s="272"/>
      <c r="D7" s="271"/>
      <c r="E7" s="271"/>
      <c r="F7" s="272"/>
    </row>
    <row r="8">
      <c r="C8" s="273"/>
      <c r="D8" s="274"/>
      <c r="E8" s="275"/>
      <c r="F8" s="273"/>
    </row>
    <row r="9">
      <c r="C9" s="269">
        <v>10.0</v>
      </c>
      <c r="D9" s="271"/>
      <c r="E9" s="81"/>
      <c r="F9" s="271"/>
    </row>
    <row r="10">
      <c r="C10" s="272"/>
      <c r="D10" s="271"/>
      <c r="E10" s="272"/>
      <c r="F10" s="271"/>
    </row>
    <row r="11">
      <c r="C11" s="273"/>
      <c r="D11" s="274"/>
      <c r="E11" s="273"/>
      <c r="F11" s="276"/>
    </row>
    <row r="12">
      <c r="C12" s="277">
        <v>0.4791666666666667</v>
      </c>
      <c r="D12" s="271"/>
      <c r="E12" s="271"/>
      <c r="F12" s="271"/>
    </row>
    <row r="13">
      <c r="C13" s="272"/>
      <c r="D13" s="271"/>
      <c r="E13" s="278"/>
      <c r="F13" s="271"/>
    </row>
    <row r="14">
      <c r="C14" s="273"/>
      <c r="D14" s="274"/>
      <c r="E14" s="275"/>
      <c r="F14" s="274"/>
    </row>
    <row r="15">
      <c r="C15" s="277">
        <v>0.5208333333333334</v>
      </c>
      <c r="D15" s="81"/>
      <c r="E15" s="81"/>
      <c r="F15" s="279"/>
    </row>
    <row r="16">
      <c r="C16" s="272"/>
      <c r="D16" s="272"/>
      <c r="E16" s="272"/>
      <c r="F16" s="271"/>
    </row>
    <row r="17">
      <c r="C17" s="273"/>
      <c r="D17" s="280"/>
      <c r="E17" s="76"/>
      <c r="F17" s="19"/>
    </row>
    <row r="18">
      <c r="C18" s="281">
        <v>0.5625</v>
      </c>
      <c r="D18" s="81"/>
      <c r="E18" s="81"/>
      <c r="F18" s="279"/>
    </row>
    <row r="19">
      <c r="C19" s="272"/>
      <c r="D19" s="272"/>
      <c r="E19" s="272"/>
      <c r="F19" s="271"/>
    </row>
    <row r="20">
      <c r="C20" s="273"/>
      <c r="D20" s="280"/>
      <c r="E20" s="76"/>
      <c r="F20" s="19"/>
    </row>
    <row r="22">
      <c r="B22" s="31" t="s">
        <v>446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226"/>
      <c r="B1" s="226"/>
      <c r="C1" s="226"/>
      <c r="D1" s="226"/>
      <c r="E1" s="226"/>
      <c r="F1" s="226"/>
      <c r="G1" s="226"/>
      <c r="H1" s="226"/>
      <c r="I1" s="113"/>
      <c r="J1" s="113"/>
      <c r="K1" s="113"/>
      <c r="L1" s="113"/>
      <c r="M1" s="113"/>
      <c r="N1" s="113"/>
      <c r="O1" s="113"/>
      <c r="P1" s="113"/>
      <c r="Q1" s="113"/>
      <c r="R1" s="113"/>
      <c r="S1" s="113"/>
    </row>
    <row r="2">
      <c r="A2" s="282" t="s">
        <v>445</v>
      </c>
      <c r="B2" s="16"/>
      <c r="C2" s="16"/>
      <c r="D2" s="16"/>
      <c r="E2" s="16"/>
      <c r="F2" s="16"/>
      <c r="G2" s="16"/>
      <c r="H2" s="19"/>
      <c r="I2" s="113"/>
      <c r="J2" s="113"/>
      <c r="K2" s="113"/>
      <c r="L2" s="113"/>
      <c r="M2" s="113"/>
      <c r="N2" s="113"/>
      <c r="O2" s="113"/>
      <c r="P2" s="113"/>
      <c r="Q2" s="113"/>
      <c r="R2" s="113"/>
      <c r="S2" s="113"/>
    </row>
    <row r="3">
      <c r="A3" s="283" t="s">
        <v>447</v>
      </c>
      <c r="D3" s="22"/>
      <c r="E3" s="284" t="s">
        <v>448</v>
      </c>
      <c r="H3" s="22"/>
      <c r="I3" s="113"/>
      <c r="J3" s="113"/>
      <c r="K3" s="113"/>
      <c r="L3" s="113"/>
      <c r="M3" s="113"/>
      <c r="N3" s="113"/>
      <c r="O3" s="113"/>
      <c r="P3" s="113"/>
      <c r="Q3" s="113"/>
      <c r="R3" s="113"/>
      <c r="S3" s="113"/>
    </row>
    <row r="4">
      <c r="A4" s="285">
        <v>1.0</v>
      </c>
      <c r="B4" s="286" t="s">
        <v>449</v>
      </c>
      <c r="D4" s="22"/>
      <c r="E4" s="287">
        <v>1.0</v>
      </c>
      <c r="F4" s="286" t="s">
        <v>449</v>
      </c>
      <c r="H4" s="22"/>
      <c r="I4" s="113"/>
      <c r="J4" s="113"/>
      <c r="K4" s="113"/>
      <c r="L4" s="113"/>
      <c r="M4" s="113"/>
      <c r="N4" s="113"/>
      <c r="O4" s="113"/>
      <c r="P4" s="113"/>
      <c r="Q4" s="113"/>
      <c r="R4" s="113"/>
      <c r="S4" s="113"/>
    </row>
    <row r="5">
      <c r="A5" s="285">
        <v>2.0</v>
      </c>
      <c r="B5" s="286" t="s">
        <v>450</v>
      </c>
      <c r="D5" s="22"/>
      <c r="E5" s="287">
        <v>2.0</v>
      </c>
      <c r="F5" s="286" t="s">
        <v>451</v>
      </c>
      <c r="H5" s="22"/>
      <c r="I5" s="113"/>
      <c r="J5" s="113"/>
      <c r="K5" s="113"/>
      <c r="L5" s="113"/>
      <c r="M5" s="113"/>
      <c r="N5" s="113"/>
      <c r="O5" s="113"/>
      <c r="P5" s="113"/>
      <c r="Q5" s="113"/>
      <c r="R5" s="113"/>
      <c r="S5" s="113"/>
    </row>
    <row r="6">
      <c r="A6" s="285">
        <v>3.0</v>
      </c>
      <c r="B6" s="286" t="s">
        <v>451</v>
      </c>
      <c r="D6" s="22"/>
      <c r="E6" s="287">
        <v>3.0</v>
      </c>
      <c r="F6" s="113" t="s">
        <v>452</v>
      </c>
      <c r="H6" s="22"/>
      <c r="I6" s="113"/>
      <c r="J6" s="113"/>
      <c r="K6" s="113"/>
      <c r="L6" s="113"/>
      <c r="M6" s="113"/>
      <c r="N6" s="113"/>
      <c r="O6" s="113"/>
      <c r="P6" s="113"/>
      <c r="Q6" s="113"/>
      <c r="R6" s="113"/>
      <c r="S6" s="113"/>
    </row>
    <row r="7">
      <c r="A7" s="288">
        <v>4.0</v>
      </c>
      <c r="B7" s="289" t="s">
        <v>453</v>
      </c>
      <c r="C7" s="16"/>
      <c r="D7" s="19"/>
      <c r="E7" s="290">
        <v>4.0</v>
      </c>
      <c r="F7" s="289" t="s">
        <v>454</v>
      </c>
      <c r="G7" s="16"/>
      <c r="H7" s="19"/>
      <c r="I7" s="113"/>
      <c r="J7" s="113"/>
      <c r="K7" s="113"/>
      <c r="L7" s="113"/>
      <c r="M7" s="113"/>
      <c r="N7" s="113"/>
      <c r="O7" s="113"/>
      <c r="P7" s="113"/>
      <c r="Q7" s="113"/>
      <c r="R7" s="113"/>
      <c r="S7" s="113"/>
    </row>
    <row r="8">
      <c r="A8" s="113"/>
      <c r="B8" s="113"/>
      <c r="C8" s="113"/>
      <c r="D8" s="113"/>
      <c r="E8" s="113"/>
      <c r="F8" s="113"/>
      <c r="G8" s="113"/>
      <c r="H8" s="113"/>
      <c r="I8" s="113"/>
      <c r="J8" s="113"/>
      <c r="K8" s="113"/>
      <c r="L8" s="113"/>
      <c r="M8" s="113"/>
      <c r="N8" s="113"/>
      <c r="O8" s="113"/>
      <c r="P8" s="113"/>
      <c r="Q8" s="113"/>
      <c r="R8" s="113"/>
      <c r="S8" s="113"/>
    </row>
    <row r="9">
      <c r="A9" s="226"/>
      <c r="B9" s="226"/>
      <c r="C9" s="226"/>
      <c r="D9" s="226"/>
      <c r="E9" s="226"/>
      <c r="F9" s="226"/>
      <c r="G9" s="226"/>
      <c r="H9" s="226"/>
      <c r="I9" s="113"/>
      <c r="J9" s="113"/>
      <c r="K9" s="113"/>
      <c r="L9" s="113"/>
      <c r="M9" s="113"/>
      <c r="N9" s="113"/>
      <c r="O9" s="113"/>
      <c r="P9" s="113"/>
      <c r="Q9" s="113"/>
      <c r="R9" s="113"/>
      <c r="S9" s="113"/>
    </row>
    <row r="10">
      <c r="A10" s="282" t="s">
        <v>455</v>
      </c>
      <c r="B10" s="16"/>
      <c r="C10" s="16"/>
      <c r="D10" s="16"/>
      <c r="E10" s="16"/>
      <c r="F10" s="16"/>
      <c r="G10" s="16"/>
      <c r="H10" s="19"/>
      <c r="I10" s="113"/>
      <c r="J10" s="113"/>
      <c r="K10" s="113"/>
      <c r="L10" s="113"/>
      <c r="M10" s="113"/>
      <c r="N10" s="113"/>
      <c r="O10" s="113"/>
      <c r="P10" s="113"/>
      <c r="Q10" s="113"/>
      <c r="R10" s="113"/>
      <c r="S10" s="113"/>
    </row>
    <row r="11">
      <c r="A11" s="291" t="s">
        <v>456</v>
      </c>
      <c r="B11" s="16"/>
      <c r="C11" s="16"/>
      <c r="D11" s="19"/>
      <c r="E11" s="292" t="s">
        <v>457</v>
      </c>
      <c r="F11" s="16"/>
      <c r="G11" s="16"/>
      <c r="H11" s="19"/>
      <c r="I11" s="113"/>
      <c r="J11" s="113"/>
      <c r="K11" s="113"/>
      <c r="L11" s="113"/>
      <c r="M11" s="113"/>
      <c r="N11" s="113"/>
      <c r="O11" s="113"/>
      <c r="P11" s="113"/>
      <c r="Q11" s="113"/>
      <c r="R11" s="113"/>
      <c r="S11" s="113"/>
    </row>
    <row r="12">
      <c r="A12" s="285">
        <v>1.0</v>
      </c>
      <c r="B12" s="286" t="s">
        <v>458</v>
      </c>
      <c r="D12" s="22"/>
      <c r="E12" s="287">
        <v>1.0</v>
      </c>
      <c r="F12" s="293" t="s">
        <v>459</v>
      </c>
      <c r="H12" s="22"/>
      <c r="I12" s="113"/>
      <c r="J12" s="113"/>
      <c r="K12" s="113"/>
      <c r="L12" s="113"/>
      <c r="M12" s="113"/>
      <c r="N12" s="113"/>
      <c r="O12" s="113"/>
      <c r="P12" s="113"/>
      <c r="Q12" s="113"/>
      <c r="R12" s="113"/>
      <c r="S12" s="113"/>
    </row>
    <row r="13">
      <c r="A13" s="285">
        <v>2.0</v>
      </c>
      <c r="B13" s="286" t="s">
        <v>460</v>
      </c>
      <c r="D13" s="22"/>
      <c r="E13" s="287">
        <v>2.0</v>
      </c>
      <c r="F13" s="293" t="s">
        <v>461</v>
      </c>
      <c r="H13" s="22"/>
      <c r="I13" s="113"/>
      <c r="J13" s="113"/>
      <c r="K13" s="113"/>
      <c r="L13" s="113"/>
      <c r="M13" s="113"/>
      <c r="N13" s="113"/>
      <c r="O13" s="113"/>
      <c r="P13" s="113"/>
      <c r="Q13" s="113"/>
      <c r="R13" s="113"/>
      <c r="S13" s="113"/>
    </row>
    <row r="14">
      <c r="A14" s="288">
        <v>3.0</v>
      </c>
      <c r="B14" s="289" t="s">
        <v>462</v>
      </c>
      <c r="C14" s="16"/>
      <c r="D14" s="19"/>
      <c r="E14" s="226"/>
      <c r="F14" s="226"/>
      <c r="G14" s="226"/>
      <c r="H14" s="294"/>
      <c r="I14" s="113"/>
      <c r="J14" s="113"/>
      <c r="K14" s="113"/>
      <c r="L14" s="113"/>
      <c r="M14" s="113"/>
      <c r="N14" s="113"/>
      <c r="O14" s="113"/>
      <c r="P14" s="113"/>
      <c r="Q14" s="113"/>
      <c r="R14" s="113"/>
      <c r="S14" s="113"/>
    </row>
    <row r="15">
      <c r="A15" s="226"/>
      <c r="B15" s="226"/>
      <c r="C15" s="226"/>
      <c r="D15" s="226"/>
      <c r="E15" s="113"/>
      <c r="F15" s="113"/>
      <c r="G15" s="113"/>
      <c r="H15" s="113"/>
      <c r="I15" s="113"/>
      <c r="J15" s="113"/>
      <c r="K15" s="113"/>
      <c r="L15" s="113"/>
      <c r="M15" s="113"/>
      <c r="N15" s="113"/>
      <c r="O15" s="113"/>
      <c r="P15" s="113"/>
      <c r="Q15" s="113"/>
      <c r="R15" s="113"/>
      <c r="S15" s="113"/>
    </row>
    <row r="16">
      <c r="A16" s="282" t="s">
        <v>419</v>
      </c>
      <c r="B16" s="16"/>
      <c r="C16" s="16"/>
      <c r="D16" s="19"/>
      <c r="E16" s="113"/>
      <c r="F16" s="113"/>
      <c r="G16" s="113"/>
      <c r="H16" s="113"/>
      <c r="I16" s="113"/>
      <c r="J16" s="113"/>
      <c r="K16" s="113"/>
      <c r="L16" s="113"/>
      <c r="M16" s="113"/>
      <c r="N16" s="113"/>
      <c r="O16" s="113"/>
      <c r="P16" s="113"/>
      <c r="Q16" s="113"/>
      <c r="R16" s="113"/>
      <c r="S16" s="113"/>
    </row>
    <row r="17">
      <c r="A17" s="291" t="s">
        <v>463</v>
      </c>
      <c r="B17" s="16"/>
      <c r="C17" s="16"/>
      <c r="D17" s="19"/>
      <c r="E17" s="113"/>
      <c r="F17" s="113"/>
      <c r="G17" s="113"/>
      <c r="H17" s="113"/>
      <c r="I17" s="113"/>
      <c r="J17" s="113"/>
      <c r="K17" s="113"/>
      <c r="L17" s="113"/>
      <c r="M17" s="113"/>
      <c r="N17" s="113"/>
      <c r="O17" s="113"/>
      <c r="P17" s="113"/>
      <c r="Q17" s="113"/>
      <c r="R17" s="113"/>
      <c r="S17" s="113"/>
    </row>
    <row r="18">
      <c r="A18" s="285">
        <v>1.0</v>
      </c>
      <c r="B18" s="286" t="s">
        <v>464</v>
      </c>
      <c r="D18" s="22"/>
      <c r="E18" s="113"/>
      <c r="F18" s="113"/>
      <c r="G18" s="113"/>
      <c r="H18" s="113"/>
      <c r="I18" s="113"/>
      <c r="J18" s="113"/>
      <c r="K18" s="113"/>
      <c r="L18" s="113"/>
      <c r="M18" s="113"/>
      <c r="N18" s="113"/>
      <c r="O18" s="113"/>
      <c r="P18" s="113"/>
      <c r="Q18" s="113"/>
      <c r="R18" s="113"/>
      <c r="S18" s="113"/>
    </row>
    <row r="19">
      <c r="A19" s="285">
        <v>2.0</v>
      </c>
      <c r="B19" s="286" t="s">
        <v>465</v>
      </c>
      <c r="D19" s="22"/>
      <c r="E19" s="113"/>
      <c r="F19" s="113"/>
      <c r="G19" s="113"/>
      <c r="H19" s="113"/>
      <c r="I19" s="113"/>
      <c r="J19" s="113"/>
      <c r="K19" s="113"/>
      <c r="L19" s="113"/>
      <c r="M19" s="113"/>
      <c r="N19" s="113"/>
      <c r="O19" s="113"/>
      <c r="P19" s="113"/>
      <c r="Q19" s="113"/>
      <c r="R19" s="113"/>
      <c r="S19" s="113"/>
    </row>
    <row r="20">
      <c r="A20" s="285">
        <v>2.0</v>
      </c>
      <c r="B20" s="286" t="s">
        <v>466</v>
      </c>
      <c r="D20" s="22"/>
      <c r="E20" s="113"/>
      <c r="F20" s="113"/>
      <c r="G20" s="113"/>
      <c r="H20" s="113"/>
      <c r="I20" s="113"/>
      <c r="J20" s="113"/>
      <c r="K20" s="113"/>
      <c r="L20" s="113"/>
      <c r="M20" s="113"/>
      <c r="N20" s="113"/>
      <c r="O20" s="113"/>
      <c r="P20" s="113"/>
      <c r="Q20" s="113"/>
      <c r="R20" s="113"/>
      <c r="S20" s="113"/>
    </row>
    <row r="21">
      <c r="A21" s="285">
        <v>3.0</v>
      </c>
      <c r="B21" s="286" t="s">
        <v>467</v>
      </c>
      <c r="D21" s="22"/>
      <c r="E21" s="113"/>
      <c r="F21" s="113"/>
      <c r="G21" s="113"/>
      <c r="H21" s="113"/>
      <c r="I21" s="113"/>
      <c r="J21" s="113"/>
      <c r="K21" s="113"/>
      <c r="L21" s="113"/>
      <c r="M21" s="113"/>
      <c r="N21" s="113"/>
      <c r="O21" s="113"/>
      <c r="P21" s="113"/>
      <c r="Q21" s="113"/>
      <c r="R21" s="113"/>
      <c r="S21" s="113"/>
    </row>
    <row r="22">
      <c r="A22" s="288">
        <v>4.0</v>
      </c>
      <c r="B22" s="289" t="s">
        <v>468</v>
      </c>
      <c r="C22" s="16"/>
      <c r="D22" s="19"/>
      <c r="E22" s="113"/>
      <c r="F22" s="113"/>
      <c r="G22" s="113"/>
      <c r="H22" s="113"/>
      <c r="I22" s="113"/>
      <c r="J22" s="113"/>
      <c r="K22" s="113"/>
      <c r="L22" s="113"/>
      <c r="M22" s="226"/>
      <c r="N22" s="113"/>
      <c r="O22" s="113"/>
      <c r="P22" s="113"/>
      <c r="Q22" s="113"/>
      <c r="R22" s="113"/>
      <c r="S22" s="113"/>
    </row>
    <row r="23">
      <c r="A23" s="226"/>
      <c r="B23" s="226"/>
      <c r="C23" s="226"/>
      <c r="D23" s="226"/>
      <c r="E23" s="113"/>
      <c r="F23" s="113"/>
      <c r="G23" s="113"/>
      <c r="H23" s="113"/>
      <c r="I23" s="113"/>
      <c r="J23" s="113"/>
      <c r="K23" s="113"/>
      <c r="L23" s="208"/>
      <c r="M23" s="294"/>
      <c r="N23" s="113"/>
      <c r="O23" s="113"/>
      <c r="P23" s="113"/>
      <c r="Q23" s="113"/>
      <c r="R23" s="113"/>
      <c r="S23" s="113"/>
    </row>
    <row r="24">
      <c r="A24" s="282" t="s">
        <v>470</v>
      </c>
      <c r="B24" s="16"/>
      <c r="C24" s="16"/>
      <c r="D24" s="19"/>
      <c r="E24" s="113"/>
      <c r="F24" s="113"/>
      <c r="G24" s="113"/>
      <c r="H24" s="113"/>
      <c r="I24" s="113"/>
      <c r="J24" s="113"/>
      <c r="K24" s="113"/>
      <c r="L24" s="113"/>
      <c r="M24" s="113"/>
      <c r="N24" s="113"/>
      <c r="O24" s="113"/>
      <c r="P24" s="113"/>
      <c r="Q24" s="113"/>
      <c r="R24" s="113"/>
      <c r="S24" s="113"/>
    </row>
    <row r="25">
      <c r="A25" s="283" t="s">
        <v>471</v>
      </c>
      <c r="D25" s="22"/>
      <c r="E25" s="113"/>
      <c r="F25" s="113"/>
      <c r="G25" s="113"/>
      <c r="H25" s="113"/>
      <c r="I25" s="113"/>
      <c r="J25" s="113"/>
      <c r="K25" s="113"/>
      <c r="L25" s="113"/>
      <c r="M25" s="113"/>
      <c r="N25" s="113"/>
      <c r="O25" s="113"/>
      <c r="P25" s="113"/>
      <c r="Q25" s="113"/>
      <c r="R25" s="113"/>
      <c r="S25" s="113"/>
    </row>
    <row r="26">
      <c r="A26" s="285">
        <v>1.0</v>
      </c>
      <c r="B26" s="286" t="s">
        <v>473</v>
      </c>
      <c r="D26" s="22"/>
      <c r="E26" s="113"/>
      <c r="F26" s="113"/>
      <c r="G26" s="113"/>
      <c r="H26" s="113"/>
      <c r="I26" s="113"/>
      <c r="J26" s="113"/>
      <c r="K26" s="113"/>
      <c r="L26" s="113"/>
      <c r="M26" s="113"/>
      <c r="N26" s="113"/>
      <c r="O26" s="113"/>
      <c r="P26" s="113"/>
      <c r="Q26" s="113"/>
      <c r="R26" s="113"/>
      <c r="S26" s="113"/>
    </row>
    <row r="27">
      <c r="A27" s="285">
        <v>1.0</v>
      </c>
      <c r="B27" s="286" t="s">
        <v>475</v>
      </c>
      <c r="D27" s="22"/>
      <c r="E27" s="113"/>
      <c r="F27" s="113"/>
      <c r="G27" s="113"/>
      <c r="H27" s="113"/>
      <c r="I27" s="113"/>
      <c r="J27" s="113"/>
      <c r="K27" s="113"/>
      <c r="L27" s="113"/>
      <c r="M27" s="113"/>
      <c r="N27" s="113"/>
      <c r="O27" s="113"/>
      <c r="P27" s="113"/>
      <c r="Q27" s="113"/>
      <c r="R27" s="113"/>
      <c r="S27" s="113"/>
    </row>
    <row r="28">
      <c r="A28" s="285">
        <v>2.0</v>
      </c>
      <c r="B28" s="286" t="s">
        <v>460</v>
      </c>
      <c r="D28" s="22"/>
      <c r="E28" s="113"/>
      <c r="F28" s="113"/>
      <c r="G28" s="113"/>
      <c r="H28" s="113"/>
      <c r="I28" s="113"/>
      <c r="J28" s="113"/>
      <c r="K28" s="113"/>
      <c r="L28" s="113"/>
      <c r="M28" s="113"/>
      <c r="N28" s="113"/>
      <c r="O28" s="113"/>
      <c r="P28" s="113"/>
      <c r="Q28" s="113"/>
      <c r="R28" s="113"/>
      <c r="S28" s="113"/>
    </row>
    <row r="29">
      <c r="A29" s="288">
        <v>3.0</v>
      </c>
      <c r="B29" s="289" t="s">
        <v>462</v>
      </c>
      <c r="C29" s="16"/>
      <c r="D29" s="19"/>
      <c r="E29" s="113"/>
      <c r="F29" s="113"/>
      <c r="G29" s="113"/>
      <c r="H29" s="113"/>
      <c r="I29" s="113"/>
      <c r="J29" s="113"/>
      <c r="K29" s="113"/>
      <c r="L29" s="113"/>
      <c r="M29" s="113"/>
      <c r="N29" s="113"/>
      <c r="O29" s="113"/>
      <c r="P29" s="113"/>
      <c r="Q29" s="113"/>
      <c r="R29" s="113"/>
      <c r="S29" s="113"/>
    </row>
    <row r="30">
      <c r="A30" s="113"/>
      <c r="B30" s="113"/>
      <c r="C30" s="113"/>
      <c r="D30" s="113"/>
      <c r="E30" s="113"/>
      <c r="F30" s="113"/>
      <c r="G30" s="113"/>
      <c r="H30" s="113"/>
      <c r="I30" s="113"/>
      <c r="J30" s="113"/>
      <c r="K30" s="113"/>
      <c r="L30" s="113"/>
      <c r="M30" s="113"/>
      <c r="N30" s="113"/>
      <c r="O30" s="113"/>
      <c r="P30" s="113"/>
      <c r="Q30" s="113"/>
      <c r="R30" s="113"/>
      <c r="S30" s="113"/>
    </row>
    <row r="31">
      <c r="A31" s="226"/>
      <c r="B31" s="226"/>
      <c r="C31" s="226"/>
      <c r="D31" s="226"/>
      <c r="E31" s="226"/>
      <c r="F31" s="226"/>
      <c r="G31" s="226"/>
      <c r="H31" s="226"/>
      <c r="I31" s="113"/>
      <c r="J31" s="113"/>
      <c r="K31" s="113"/>
      <c r="L31" s="113"/>
      <c r="M31" s="113"/>
      <c r="N31" s="113"/>
      <c r="O31" s="113"/>
      <c r="P31" s="113"/>
      <c r="Q31" s="113"/>
      <c r="R31" s="113"/>
      <c r="S31" s="113"/>
    </row>
    <row r="32">
      <c r="A32" s="282" t="s">
        <v>478</v>
      </c>
      <c r="B32" s="16"/>
      <c r="C32" s="16"/>
      <c r="D32" s="16"/>
      <c r="E32" s="16"/>
      <c r="F32" s="16"/>
      <c r="G32" s="16"/>
      <c r="H32" s="19"/>
      <c r="I32" s="113"/>
      <c r="J32" s="113"/>
      <c r="K32" s="113"/>
      <c r="L32" s="113"/>
      <c r="M32" s="113"/>
      <c r="N32" s="113"/>
      <c r="O32" s="113"/>
      <c r="P32" s="113"/>
      <c r="Q32" s="113"/>
      <c r="R32" s="113"/>
      <c r="S32" s="113"/>
    </row>
    <row r="33">
      <c r="A33" s="291" t="s">
        <v>481</v>
      </c>
      <c r="B33" s="16"/>
      <c r="C33" s="16"/>
      <c r="D33" s="19"/>
      <c r="E33" s="284" t="s">
        <v>482</v>
      </c>
      <c r="H33" s="22"/>
      <c r="I33" s="113"/>
      <c r="J33" s="113"/>
      <c r="K33" s="113"/>
      <c r="L33" s="113"/>
      <c r="M33" s="113"/>
      <c r="N33" s="113" t="s">
        <v>484</v>
      </c>
      <c r="O33" s="113"/>
      <c r="P33" s="113"/>
      <c r="Q33" s="113"/>
      <c r="R33" s="113"/>
      <c r="S33" s="113"/>
    </row>
    <row r="34">
      <c r="A34" s="285">
        <v>1.0</v>
      </c>
      <c r="B34" s="286" t="s">
        <v>421</v>
      </c>
      <c r="C34" s="113"/>
      <c r="D34" s="208"/>
      <c r="E34" s="287">
        <v>1.0</v>
      </c>
      <c r="F34" s="286" t="s">
        <v>421</v>
      </c>
      <c r="G34" s="113"/>
      <c r="H34" s="208"/>
      <c r="I34" s="113"/>
      <c r="J34" s="113"/>
      <c r="K34" s="113"/>
      <c r="L34" s="113"/>
      <c r="M34" s="113"/>
      <c r="N34" s="113"/>
      <c r="O34" s="113"/>
      <c r="P34" s="113"/>
      <c r="Q34" s="113"/>
      <c r="R34" s="113"/>
      <c r="S34" s="113"/>
    </row>
    <row r="35">
      <c r="A35" s="285">
        <v>2.0</v>
      </c>
      <c r="B35" s="286" t="s">
        <v>486</v>
      </c>
      <c r="C35" s="30" t="s">
        <v>487</v>
      </c>
      <c r="D35" s="22"/>
      <c r="E35" s="287">
        <v>2.0</v>
      </c>
      <c r="F35" s="286" t="s">
        <v>486</v>
      </c>
      <c r="G35" s="113"/>
      <c r="H35" s="208"/>
      <c r="I35" s="113"/>
      <c r="J35" s="113"/>
      <c r="K35" s="113"/>
      <c r="L35" s="113"/>
      <c r="M35" s="113"/>
      <c r="N35" s="113"/>
      <c r="O35" s="113"/>
      <c r="P35" s="113"/>
      <c r="Q35" s="113"/>
      <c r="R35" s="113"/>
      <c r="S35" s="113"/>
    </row>
    <row r="36">
      <c r="A36" s="285">
        <v>3.0</v>
      </c>
      <c r="B36" s="286" t="s">
        <v>488</v>
      </c>
      <c r="C36" s="113"/>
      <c r="D36" s="208"/>
      <c r="E36" s="287">
        <v>3.0</v>
      </c>
      <c r="F36" s="286" t="s">
        <v>489</v>
      </c>
      <c r="G36" s="113"/>
      <c r="H36" s="208"/>
      <c r="I36" s="113"/>
      <c r="J36" s="113"/>
      <c r="K36" s="113"/>
      <c r="L36" s="113"/>
      <c r="M36" s="113"/>
      <c r="N36" s="113"/>
      <c r="O36" s="113"/>
      <c r="P36" s="113"/>
      <c r="Q36" s="113"/>
      <c r="R36" s="113"/>
      <c r="S36" s="113"/>
    </row>
    <row r="37">
      <c r="A37" s="285">
        <v>4.0</v>
      </c>
      <c r="B37" s="286" t="s">
        <v>493</v>
      </c>
      <c r="C37" s="113"/>
      <c r="D37" s="208"/>
      <c r="E37" s="113"/>
      <c r="F37" s="113"/>
      <c r="G37" s="113"/>
      <c r="H37" s="208"/>
      <c r="I37" s="113"/>
      <c r="J37" s="113"/>
      <c r="K37" s="113"/>
      <c r="L37" s="113"/>
      <c r="M37" s="113"/>
      <c r="N37" s="113"/>
      <c r="O37" s="113"/>
      <c r="P37" s="113"/>
      <c r="Q37" s="113"/>
      <c r="R37" s="113"/>
      <c r="S37" s="113"/>
    </row>
    <row r="38">
      <c r="A38" s="288">
        <v>5.0</v>
      </c>
      <c r="B38" s="289" t="s">
        <v>499</v>
      </c>
      <c r="C38" s="226"/>
      <c r="D38" s="294"/>
      <c r="E38" s="226"/>
      <c r="F38" s="226"/>
      <c r="G38" s="226"/>
      <c r="H38" s="294"/>
      <c r="I38" s="113"/>
      <c r="J38" s="113"/>
      <c r="K38" s="113"/>
      <c r="L38" s="113"/>
      <c r="M38" s="113"/>
      <c r="N38" s="113"/>
      <c r="O38" s="113"/>
      <c r="P38" s="113"/>
      <c r="Q38" s="113"/>
      <c r="R38" s="113"/>
      <c r="S38" s="113"/>
    </row>
    <row r="39">
      <c r="A39" s="113"/>
      <c r="B39" s="113"/>
      <c r="C39" s="113"/>
      <c r="D39" s="113"/>
      <c r="E39" s="113"/>
      <c r="F39" s="113"/>
      <c r="G39" s="113"/>
      <c r="H39" s="113"/>
      <c r="I39" s="113"/>
      <c r="J39" s="113"/>
      <c r="K39" s="113"/>
      <c r="L39" s="113"/>
      <c r="M39" s="113"/>
      <c r="N39" s="113"/>
      <c r="O39" s="113"/>
      <c r="P39" s="113"/>
      <c r="Q39" s="113"/>
      <c r="R39" s="113"/>
      <c r="S39" s="113"/>
    </row>
    <row r="40">
      <c r="A40" s="113"/>
      <c r="B40" s="113"/>
      <c r="C40" s="113"/>
      <c r="D40" s="113"/>
      <c r="E40" s="113"/>
      <c r="F40" s="113"/>
      <c r="G40" s="113"/>
      <c r="H40" s="113"/>
      <c r="I40" s="113"/>
      <c r="J40" s="113"/>
      <c r="K40" s="113"/>
      <c r="L40" s="113"/>
      <c r="M40" s="113"/>
      <c r="N40" s="113"/>
      <c r="O40" s="113"/>
      <c r="P40" s="113"/>
      <c r="Q40" s="113"/>
      <c r="R40" s="113"/>
      <c r="S40" s="113"/>
    </row>
    <row r="41">
      <c r="A41" s="113"/>
      <c r="B41" s="113"/>
      <c r="C41" s="113"/>
      <c r="D41" s="113"/>
      <c r="E41" s="113"/>
      <c r="F41" s="113"/>
      <c r="G41" s="113"/>
      <c r="H41" s="113"/>
      <c r="I41" s="113"/>
      <c r="J41" s="113"/>
      <c r="K41" s="113"/>
      <c r="L41" s="113"/>
      <c r="M41" s="113"/>
      <c r="N41" s="113"/>
      <c r="O41" s="113"/>
      <c r="P41" s="113"/>
      <c r="Q41" s="113"/>
      <c r="R41" s="113"/>
      <c r="S41" s="113"/>
    </row>
    <row r="42">
      <c r="A42" s="113"/>
      <c r="B42" s="113"/>
      <c r="C42" s="113"/>
      <c r="D42" s="113"/>
      <c r="E42" s="113"/>
      <c r="F42" s="113"/>
      <c r="G42" s="113"/>
      <c r="H42" s="113"/>
      <c r="I42" s="113"/>
      <c r="J42" s="113"/>
      <c r="K42" s="113"/>
      <c r="L42" s="113"/>
      <c r="M42" s="113"/>
      <c r="N42" s="113"/>
      <c r="O42" s="113"/>
      <c r="P42" s="113"/>
      <c r="Q42" s="113"/>
      <c r="R42" s="113"/>
      <c r="S42" s="113"/>
    </row>
    <row r="43">
      <c r="A43" s="113"/>
      <c r="B43" s="113"/>
      <c r="C43" s="113"/>
      <c r="D43" s="113"/>
      <c r="E43" s="113"/>
      <c r="F43" s="113"/>
      <c r="G43" s="113"/>
      <c r="H43" s="113"/>
      <c r="I43" s="113"/>
      <c r="J43" s="113"/>
      <c r="K43" s="113"/>
      <c r="L43" s="113"/>
      <c r="M43" s="113"/>
      <c r="N43" s="113"/>
      <c r="O43" s="113"/>
      <c r="P43" s="113"/>
      <c r="Q43" s="113"/>
      <c r="R43" s="113"/>
      <c r="S43" s="113"/>
    </row>
    <row r="44">
      <c r="A44" s="113"/>
      <c r="B44" s="113"/>
      <c r="C44" s="113"/>
      <c r="D44" s="113"/>
      <c r="E44" s="113"/>
      <c r="F44" s="113"/>
      <c r="G44" s="113"/>
      <c r="H44" s="113"/>
      <c r="I44" s="113"/>
      <c r="J44" s="113"/>
      <c r="K44" s="113"/>
      <c r="L44" s="113"/>
      <c r="M44" s="113"/>
      <c r="N44" s="113"/>
      <c r="O44" s="113"/>
      <c r="P44" s="113"/>
      <c r="Q44" s="113"/>
      <c r="R44" s="113"/>
      <c r="S44" s="113"/>
    </row>
    <row r="45">
      <c r="A45" s="113"/>
      <c r="B45" s="113"/>
      <c r="C45" s="113"/>
      <c r="D45" s="113"/>
      <c r="E45" s="113"/>
      <c r="F45" s="113"/>
      <c r="G45" s="113"/>
      <c r="H45" s="113"/>
      <c r="I45" s="113"/>
      <c r="J45" s="113"/>
      <c r="K45" s="113"/>
      <c r="L45" s="113"/>
      <c r="M45" s="113"/>
      <c r="N45" s="113"/>
      <c r="O45" s="113"/>
      <c r="P45" s="113"/>
      <c r="Q45" s="113"/>
      <c r="R45" s="113"/>
      <c r="S45" s="113"/>
    </row>
    <row r="46">
      <c r="A46" s="113"/>
      <c r="B46" s="113"/>
      <c r="C46" s="113"/>
      <c r="D46" s="113"/>
      <c r="E46" s="113"/>
      <c r="F46" s="113"/>
      <c r="G46" s="113"/>
      <c r="H46" s="113"/>
      <c r="I46" s="113"/>
      <c r="J46" s="113"/>
      <c r="K46" s="113"/>
      <c r="L46" s="113"/>
      <c r="M46" s="113"/>
      <c r="N46" s="113"/>
      <c r="O46" s="113"/>
      <c r="P46" s="113"/>
      <c r="Q46" s="113"/>
      <c r="R46" s="113"/>
      <c r="S46" s="113"/>
    </row>
    <row r="47">
      <c r="A47" s="113"/>
      <c r="B47" s="113"/>
      <c r="C47" s="113"/>
      <c r="D47" s="113"/>
      <c r="E47" s="113"/>
      <c r="F47" s="113"/>
      <c r="G47" s="113"/>
      <c r="H47" s="113"/>
      <c r="I47" s="113"/>
      <c r="J47" s="113"/>
      <c r="K47" s="113"/>
      <c r="L47" s="113"/>
      <c r="M47" s="113"/>
      <c r="N47" s="113"/>
      <c r="O47" s="113"/>
      <c r="P47" s="113"/>
      <c r="Q47" s="113"/>
      <c r="R47" s="113"/>
      <c r="S47" s="113"/>
    </row>
    <row r="48">
      <c r="A48" s="113"/>
      <c r="B48" s="113"/>
      <c r="C48" s="113"/>
      <c r="D48" s="113"/>
      <c r="E48" s="113"/>
      <c r="F48" s="113"/>
      <c r="G48" s="113"/>
      <c r="H48" s="113"/>
      <c r="I48" s="113"/>
      <c r="J48" s="113"/>
      <c r="K48" s="113"/>
      <c r="L48" s="113"/>
      <c r="M48" s="113"/>
      <c r="N48" s="113"/>
      <c r="O48" s="113"/>
      <c r="P48" s="113"/>
      <c r="Q48" s="113"/>
      <c r="R48" s="113"/>
      <c r="S48" s="113"/>
    </row>
    <row r="49">
      <c r="A49" s="113"/>
      <c r="B49" s="113"/>
      <c r="C49" s="113"/>
      <c r="D49" s="113"/>
      <c r="E49" s="113"/>
      <c r="F49" s="113"/>
      <c r="G49" s="113"/>
      <c r="H49" s="113"/>
      <c r="I49" s="113"/>
      <c r="J49" s="113"/>
      <c r="K49" s="113"/>
      <c r="L49" s="113"/>
      <c r="M49" s="113"/>
      <c r="N49" s="113"/>
      <c r="O49" s="113"/>
      <c r="P49" s="113"/>
      <c r="Q49" s="113"/>
      <c r="R49" s="113"/>
      <c r="S49" s="113"/>
    </row>
    <row r="50">
      <c r="A50" s="113"/>
      <c r="B50" s="113"/>
      <c r="C50" s="113"/>
      <c r="D50" s="113"/>
      <c r="E50" s="113"/>
      <c r="F50" s="113"/>
      <c r="G50" s="113"/>
      <c r="H50" s="113"/>
      <c r="I50" s="113"/>
      <c r="J50" s="113"/>
      <c r="K50" s="113"/>
      <c r="L50" s="113"/>
      <c r="M50" s="113"/>
      <c r="N50" s="113"/>
      <c r="O50" s="113"/>
      <c r="P50" s="113"/>
      <c r="Q50" s="113"/>
      <c r="R50" s="113"/>
      <c r="S50" s="113"/>
    </row>
    <row r="51">
      <c r="A51" s="113"/>
      <c r="B51" s="113"/>
      <c r="C51" s="113"/>
      <c r="D51" s="113"/>
      <c r="E51" s="113"/>
      <c r="F51" s="113"/>
      <c r="G51" s="113"/>
      <c r="H51" s="113"/>
      <c r="I51" s="113"/>
      <c r="J51" s="113"/>
      <c r="K51" s="113"/>
      <c r="L51" s="113"/>
      <c r="M51" s="113"/>
      <c r="N51" s="113"/>
      <c r="O51" s="113"/>
      <c r="P51" s="113"/>
      <c r="Q51" s="113"/>
      <c r="R51" s="113"/>
      <c r="S51" s="113"/>
    </row>
    <row r="52">
      <c r="A52" s="113"/>
      <c r="B52" s="113"/>
      <c r="C52" s="113"/>
      <c r="D52" s="113"/>
      <c r="E52" s="113"/>
      <c r="F52" s="113"/>
      <c r="G52" s="113"/>
      <c r="H52" s="113"/>
      <c r="I52" s="113"/>
      <c r="J52" s="113"/>
      <c r="K52" s="113"/>
      <c r="L52" s="113"/>
      <c r="M52" s="113"/>
      <c r="N52" s="113"/>
      <c r="O52" s="113"/>
      <c r="P52" s="113"/>
      <c r="Q52" s="113"/>
      <c r="R52" s="113"/>
      <c r="S52" s="113"/>
    </row>
    <row r="53">
      <c r="A53" s="113"/>
      <c r="B53" s="113"/>
      <c r="C53" s="113"/>
      <c r="D53" s="113"/>
      <c r="E53" s="113"/>
      <c r="F53" s="113"/>
      <c r="G53" s="113"/>
      <c r="H53" s="113"/>
      <c r="I53" s="113"/>
      <c r="J53" s="113"/>
      <c r="K53" s="113"/>
      <c r="L53" s="113"/>
      <c r="M53" s="113"/>
      <c r="N53" s="113"/>
      <c r="O53" s="113"/>
      <c r="P53" s="113"/>
      <c r="Q53" s="113"/>
      <c r="R53" s="113"/>
      <c r="S53" s="113"/>
    </row>
    <row r="54">
      <c r="A54" s="113"/>
      <c r="B54" s="113"/>
      <c r="C54" s="113"/>
      <c r="D54" s="113"/>
      <c r="E54" s="113"/>
      <c r="F54" s="113"/>
      <c r="G54" s="113"/>
      <c r="H54" s="113"/>
      <c r="I54" s="113"/>
      <c r="J54" s="113"/>
      <c r="K54" s="113"/>
      <c r="L54" s="113"/>
      <c r="M54" s="113"/>
      <c r="N54" s="113"/>
      <c r="O54" s="113"/>
      <c r="P54" s="113"/>
      <c r="Q54" s="113"/>
      <c r="R54" s="113"/>
      <c r="S54" s="113"/>
    </row>
    <row r="55">
      <c r="A55" s="113"/>
      <c r="B55" s="113"/>
      <c r="C55" s="113"/>
      <c r="D55" s="113"/>
      <c r="E55" s="113"/>
      <c r="F55" s="113"/>
      <c r="G55" s="113"/>
      <c r="H55" s="113"/>
      <c r="I55" s="113"/>
      <c r="J55" s="113"/>
      <c r="K55" s="113"/>
      <c r="L55" s="113"/>
      <c r="M55" s="113"/>
      <c r="N55" s="113"/>
      <c r="O55" s="113"/>
      <c r="P55" s="113"/>
      <c r="Q55" s="113"/>
      <c r="R55" s="113"/>
      <c r="S55" s="113"/>
    </row>
    <row r="56">
      <c r="A56" s="113"/>
      <c r="B56" s="113"/>
      <c r="C56" s="113"/>
      <c r="D56" s="113"/>
      <c r="E56" s="113"/>
      <c r="F56" s="113"/>
      <c r="G56" s="113"/>
      <c r="H56" s="113"/>
      <c r="I56" s="113"/>
      <c r="J56" s="113"/>
      <c r="K56" s="113"/>
      <c r="L56" s="113"/>
      <c r="M56" s="113"/>
      <c r="N56" s="113"/>
      <c r="O56" s="113"/>
      <c r="P56" s="113"/>
      <c r="Q56" s="113"/>
      <c r="R56" s="113"/>
      <c r="S56" s="113"/>
    </row>
    <row r="57">
      <c r="A57" s="113"/>
      <c r="B57" s="113"/>
      <c r="C57" s="113"/>
      <c r="D57" s="113"/>
      <c r="E57" s="113"/>
      <c r="F57" s="113"/>
      <c r="G57" s="113"/>
      <c r="H57" s="113"/>
      <c r="I57" s="113"/>
      <c r="J57" s="113"/>
      <c r="K57" s="113"/>
      <c r="L57" s="113"/>
      <c r="M57" s="113"/>
      <c r="N57" s="113"/>
      <c r="O57" s="113"/>
      <c r="P57" s="113"/>
      <c r="Q57" s="113"/>
      <c r="R57" s="113"/>
      <c r="S57" s="113"/>
    </row>
    <row r="58">
      <c r="A58" s="113"/>
      <c r="B58" s="113"/>
      <c r="C58" s="113"/>
      <c r="D58" s="113"/>
      <c r="E58" s="113"/>
      <c r="F58" s="113"/>
      <c r="G58" s="113"/>
      <c r="H58" s="113"/>
      <c r="I58" s="113"/>
      <c r="J58" s="113"/>
      <c r="K58" s="113"/>
      <c r="L58" s="113"/>
      <c r="M58" s="113"/>
      <c r="N58" s="113"/>
      <c r="O58" s="113"/>
      <c r="P58" s="113"/>
      <c r="Q58" s="113"/>
      <c r="R58" s="113"/>
      <c r="S58" s="113"/>
    </row>
    <row r="59">
      <c r="A59" s="113"/>
      <c r="B59" s="113"/>
      <c r="C59" s="113"/>
      <c r="D59" s="113"/>
      <c r="E59" s="113"/>
      <c r="F59" s="113"/>
      <c r="G59" s="113"/>
      <c r="H59" s="113"/>
      <c r="I59" s="113"/>
      <c r="J59" s="113"/>
      <c r="K59" s="113"/>
      <c r="L59" s="113"/>
      <c r="M59" s="113"/>
      <c r="N59" s="113"/>
      <c r="O59" s="113"/>
      <c r="P59" s="113"/>
      <c r="Q59" s="113"/>
      <c r="R59" s="113"/>
      <c r="S59" s="113"/>
    </row>
    <row r="60">
      <c r="A60" s="113"/>
      <c r="B60" s="113"/>
      <c r="C60" s="113"/>
      <c r="D60" s="113"/>
      <c r="E60" s="113"/>
      <c r="F60" s="113"/>
      <c r="G60" s="113"/>
      <c r="H60" s="113"/>
      <c r="I60" s="113"/>
      <c r="J60" s="113"/>
      <c r="K60" s="113"/>
      <c r="L60" s="113"/>
      <c r="M60" s="113"/>
      <c r="N60" s="113"/>
      <c r="O60" s="113"/>
      <c r="P60" s="113"/>
      <c r="Q60" s="113"/>
      <c r="R60" s="113"/>
      <c r="S60" s="113"/>
    </row>
    <row r="61">
      <c r="A61" s="113"/>
      <c r="B61" s="113"/>
      <c r="C61" s="113"/>
      <c r="D61" s="113"/>
      <c r="E61" s="113"/>
      <c r="F61" s="113"/>
      <c r="G61" s="113"/>
      <c r="H61" s="113"/>
      <c r="I61" s="113"/>
      <c r="J61" s="113"/>
      <c r="K61" s="113"/>
      <c r="L61" s="113"/>
      <c r="M61" s="113"/>
      <c r="N61" s="113"/>
      <c r="O61" s="113"/>
      <c r="P61" s="113"/>
      <c r="Q61" s="113"/>
      <c r="R61" s="113"/>
      <c r="S61" s="113"/>
    </row>
  </sheetData>
  <mergeCells count="36">
    <mergeCell ref="F5:H5"/>
    <mergeCell ref="F6:H6"/>
    <mergeCell ref="A2:H2"/>
    <mergeCell ref="A3:D3"/>
    <mergeCell ref="E3:H3"/>
    <mergeCell ref="B4:D4"/>
    <mergeCell ref="F4:H4"/>
    <mergeCell ref="B5:D5"/>
    <mergeCell ref="B6:D6"/>
    <mergeCell ref="F12:H12"/>
    <mergeCell ref="F13:H13"/>
    <mergeCell ref="B7:D7"/>
    <mergeCell ref="F7:H7"/>
    <mergeCell ref="A10:H10"/>
    <mergeCell ref="A11:D11"/>
    <mergeCell ref="E11:H11"/>
    <mergeCell ref="B12:D12"/>
    <mergeCell ref="B13:D13"/>
    <mergeCell ref="B14:D14"/>
    <mergeCell ref="A16:D16"/>
    <mergeCell ref="A17:D17"/>
    <mergeCell ref="B18:D18"/>
    <mergeCell ref="B19:D19"/>
    <mergeCell ref="B20:D20"/>
    <mergeCell ref="B21:D21"/>
    <mergeCell ref="A32:H32"/>
    <mergeCell ref="A33:D33"/>
    <mergeCell ref="E33:H33"/>
    <mergeCell ref="C35:D35"/>
    <mergeCell ref="B22:D22"/>
    <mergeCell ref="A24:D24"/>
    <mergeCell ref="A25:D25"/>
    <mergeCell ref="B26:D26"/>
    <mergeCell ref="B27:D27"/>
    <mergeCell ref="B28:D28"/>
    <mergeCell ref="B29:D2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7" max="7" width="19.63"/>
    <col customWidth="1" min="12" max="12" width="19.13"/>
  </cols>
  <sheetData>
    <row r="2">
      <c r="A2" s="18" t="s">
        <v>455</v>
      </c>
    </row>
    <row r="3">
      <c r="A3" s="295" t="s">
        <v>469</v>
      </c>
      <c r="B3" s="296" t="s">
        <v>381</v>
      </c>
      <c r="C3" s="3"/>
      <c r="D3" s="3"/>
      <c r="E3" s="3"/>
      <c r="F3" s="3"/>
      <c r="G3" s="5"/>
      <c r="H3" s="296" t="s">
        <v>472</v>
      </c>
      <c r="I3" s="3"/>
      <c r="J3" s="3"/>
      <c r="K3" s="3"/>
      <c r="L3" s="5"/>
    </row>
    <row r="4">
      <c r="A4" s="297" t="s">
        <v>474</v>
      </c>
      <c r="B4" s="298" t="s">
        <v>476</v>
      </c>
      <c r="C4" s="3"/>
      <c r="D4" s="3"/>
      <c r="E4" s="3"/>
      <c r="F4" s="3"/>
      <c r="G4" s="5"/>
      <c r="H4" s="298" t="s">
        <v>477</v>
      </c>
      <c r="I4" s="3"/>
      <c r="J4" s="3"/>
      <c r="K4" s="3"/>
      <c r="L4" s="5"/>
    </row>
    <row r="5">
      <c r="A5" s="297" t="s">
        <v>479</v>
      </c>
      <c r="B5" s="298" t="s">
        <v>480</v>
      </c>
      <c r="C5" s="3"/>
      <c r="D5" s="3"/>
      <c r="E5" s="3"/>
      <c r="F5" s="3"/>
      <c r="G5" s="5"/>
      <c r="H5" s="298" t="s">
        <v>483</v>
      </c>
      <c r="I5" s="3"/>
      <c r="J5" s="3"/>
      <c r="K5" s="3"/>
      <c r="L5" s="5"/>
    </row>
    <row r="6">
      <c r="A6" s="299" t="s">
        <v>485</v>
      </c>
      <c r="B6" s="301" t="s">
        <v>490</v>
      </c>
      <c r="C6" s="3"/>
      <c r="D6" s="3"/>
      <c r="E6" s="3"/>
      <c r="F6" s="3"/>
      <c r="G6" s="5"/>
      <c r="H6" s="301" t="s">
        <v>498</v>
      </c>
      <c r="I6" s="3"/>
      <c r="J6" s="3"/>
      <c r="K6" s="3"/>
      <c r="L6" s="5"/>
    </row>
    <row r="7">
      <c r="A7" s="297" t="s">
        <v>501</v>
      </c>
      <c r="B7" s="301" t="s">
        <v>502</v>
      </c>
      <c r="C7" s="3"/>
      <c r="D7" s="3"/>
      <c r="E7" s="3"/>
      <c r="F7" s="3"/>
      <c r="G7" s="5"/>
      <c r="H7" s="304" t="s">
        <v>503</v>
      </c>
      <c r="I7" s="3"/>
      <c r="J7" s="3"/>
      <c r="K7" s="3"/>
      <c r="L7" s="5"/>
    </row>
    <row r="8">
      <c r="A8" s="297" t="s">
        <v>510</v>
      </c>
      <c r="B8" s="301" t="s">
        <v>511</v>
      </c>
      <c r="C8" s="3"/>
      <c r="D8" s="3"/>
      <c r="E8" s="3"/>
      <c r="F8" s="3"/>
      <c r="G8" s="5"/>
      <c r="H8" s="301" t="s">
        <v>514</v>
      </c>
      <c r="I8" s="3"/>
      <c r="J8" s="3"/>
      <c r="K8" s="3"/>
      <c r="L8" s="5"/>
    </row>
    <row r="9">
      <c r="A9" s="297" t="s">
        <v>515</v>
      </c>
      <c r="B9" s="305" t="s">
        <v>516</v>
      </c>
      <c r="C9" s="3"/>
      <c r="D9" s="3"/>
      <c r="E9" s="3"/>
      <c r="F9" s="3"/>
      <c r="G9" s="5"/>
      <c r="H9" s="301" t="s">
        <v>519</v>
      </c>
      <c r="I9" s="3"/>
      <c r="J9" s="3"/>
      <c r="K9" s="3"/>
      <c r="L9" s="5"/>
    </row>
    <row r="10">
      <c r="A10" s="297" t="s">
        <v>520</v>
      </c>
      <c r="B10" s="298" t="s">
        <v>521</v>
      </c>
      <c r="C10" s="3"/>
      <c r="D10" s="3"/>
      <c r="E10" s="3"/>
      <c r="F10" s="3"/>
      <c r="G10" s="5"/>
      <c r="H10" s="301" t="s">
        <v>524</v>
      </c>
      <c r="I10" s="3"/>
      <c r="J10" s="3"/>
      <c r="K10" s="3"/>
      <c r="L10" s="5"/>
    </row>
    <row r="11">
      <c r="A11" s="297" t="s">
        <v>525</v>
      </c>
      <c r="B11" s="298" t="s">
        <v>526</v>
      </c>
      <c r="C11" s="3"/>
      <c r="D11" s="3"/>
      <c r="E11" s="3"/>
      <c r="F11" s="3"/>
      <c r="G11" s="5"/>
      <c r="H11" s="307" t="s">
        <v>527</v>
      </c>
      <c r="I11" s="3"/>
      <c r="J11" s="3"/>
      <c r="K11" s="3"/>
      <c r="L11" s="5"/>
    </row>
    <row r="12">
      <c r="A12" s="297" t="s">
        <v>530</v>
      </c>
      <c r="B12" s="298" t="s">
        <v>531</v>
      </c>
      <c r="C12" s="3"/>
      <c r="D12" s="3"/>
      <c r="E12" s="3"/>
      <c r="F12" s="3"/>
      <c r="G12" s="5"/>
      <c r="H12" s="307" t="s">
        <v>532</v>
      </c>
      <c r="I12" s="3"/>
      <c r="J12" s="3"/>
      <c r="K12" s="3"/>
      <c r="L12" s="5"/>
    </row>
    <row r="13">
      <c r="A13" s="308" t="s">
        <v>535</v>
      </c>
      <c r="B13" s="298" t="s">
        <v>536</v>
      </c>
      <c r="C13" s="3"/>
      <c r="D13" s="3"/>
      <c r="E13" s="3"/>
      <c r="F13" s="3"/>
      <c r="G13" s="5"/>
      <c r="H13" s="298" t="s">
        <v>537</v>
      </c>
      <c r="I13" s="3"/>
      <c r="J13" s="3"/>
      <c r="K13" s="3"/>
      <c r="L13" s="5"/>
    </row>
    <row r="14">
      <c r="A14" s="297" t="s">
        <v>540</v>
      </c>
      <c r="B14" s="298" t="s">
        <v>541</v>
      </c>
      <c r="C14" s="3"/>
      <c r="D14" s="3"/>
      <c r="E14" s="3"/>
      <c r="F14" s="3"/>
      <c r="G14" s="5"/>
      <c r="H14" s="298" t="s">
        <v>542</v>
      </c>
      <c r="I14" s="3"/>
      <c r="J14" s="3"/>
      <c r="K14" s="3"/>
      <c r="L14" s="5"/>
    </row>
    <row r="15">
      <c r="A15" s="297" t="s">
        <v>543</v>
      </c>
      <c r="B15" s="298" t="s">
        <v>546</v>
      </c>
      <c r="C15" s="3"/>
      <c r="D15" s="3"/>
      <c r="E15" s="3"/>
      <c r="F15" s="3"/>
      <c r="G15" s="5"/>
      <c r="H15" s="309"/>
      <c r="I15" s="3"/>
      <c r="J15" s="3"/>
      <c r="K15" s="3"/>
      <c r="L15" s="5"/>
    </row>
    <row r="16">
      <c r="A16" s="310"/>
      <c r="B16" s="311"/>
      <c r="C16" s="311"/>
      <c r="D16" s="311"/>
      <c r="E16" s="311"/>
      <c r="F16" s="311"/>
      <c r="G16" s="311"/>
      <c r="H16" s="311"/>
      <c r="I16" s="311"/>
      <c r="J16" s="311"/>
      <c r="K16" s="311"/>
      <c r="L16" s="311"/>
    </row>
    <row r="17">
      <c r="A17" s="310"/>
      <c r="B17" s="311"/>
      <c r="C17" s="311"/>
      <c r="D17" s="311"/>
      <c r="E17" s="311"/>
      <c r="F17" s="311"/>
      <c r="G17" s="311"/>
      <c r="H17" s="311"/>
      <c r="I17" s="311"/>
      <c r="J17" s="311"/>
      <c r="K17" s="311"/>
      <c r="L17" s="311"/>
    </row>
    <row r="18">
      <c r="B18" s="9"/>
      <c r="C18" s="9"/>
      <c r="D18" s="9"/>
      <c r="E18" s="9"/>
      <c r="F18" s="9"/>
      <c r="G18" s="9"/>
      <c r="H18" s="9"/>
      <c r="I18" s="9"/>
      <c r="J18" s="9"/>
      <c r="K18" s="9"/>
      <c r="L18" s="9"/>
    </row>
    <row r="19">
      <c r="B19" s="9"/>
      <c r="C19" s="9"/>
      <c r="D19" s="9"/>
      <c r="E19" s="9"/>
      <c r="F19" s="9"/>
      <c r="G19" s="9"/>
      <c r="H19" s="9"/>
      <c r="I19" s="9"/>
      <c r="J19" s="9"/>
      <c r="K19" s="9"/>
      <c r="L19" s="9"/>
    </row>
    <row r="20">
      <c r="B20" s="9"/>
      <c r="C20" s="9"/>
      <c r="D20" s="9"/>
      <c r="E20" s="9"/>
      <c r="F20" s="9"/>
      <c r="G20" s="9"/>
      <c r="H20" s="9"/>
      <c r="I20" s="9"/>
      <c r="J20" s="9"/>
      <c r="K20" s="9"/>
      <c r="L20" s="9"/>
    </row>
    <row r="21">
      <c r="B21" s="9"/>
      <c r="C21" s="9"/>
      <c r="D21" s="9"/>
      <c r="E21" s="9"/>
      <c r="F21" s="9"/>
      <c r="G21" s="9"/>
      <c r="H21" s="9"/>
      <c r="I21" s="9"/>
      <c r="J21" s="9"/>
      <c r="K21" s="9"/>
      <c r="L21" s="9"/>
    </row>
    <row r="22">
      <c r="B22" s="9"/>
      <c r="C22" s="9"/>
      <c r="D22" s="9"/>
      <c r="E22" s="9"/>
      <c r="F22" s="9"/>
      <c r="G22" s="9"/>
      <c r="H22" s="9"/>
      <c r="I22" s="9"/>
      <c r="J22" s="9"/>
      <c r="K22" s="9"/>
      <c r="L22" s="9"/>
    </row>
    <row r="23">
      <c r="B23" s="9"/>
      <c r="C23" s="9"/>
      <c r="D23" s="9"/>
      <c r="E23" s="9"/>
      <c r="F23" s="9"/>
      <c r="G23" s="9"/>
      <c r="H23" s="9"/>
      <c r="I23" s="9"/>
      <c r="J23" s="9"/>
      <c r="K23" s="9"/>
      <c r="L23" s="9"/>
    </row>
    <row r="24">
      <c r="B24" s="9"/>
      <c r="C24" s="9"/>
      <c r="D24" s="9"/>
      <c r="E24" s="9"/>
      <c r="F24" s="9"/>
      <c r="G24" s="9"/>
      <c r="H24" s="9"/>
      <c r="I24" s="9"/>
      <c r="J24" s="9"/>
      <c r="K24" s="9"/>
      <c r="L24" s="9"/>
    </row>
    <row r="25">
      <c r="B25" s="9"/>
      <c r="C25" s="9"/>
      <c r="D25" s="9"/>
      <c r="E25" s="9"/>
      <c r="F25" s="9"/>
      <c r="G25" s="9"/>
      <c r="H25" s="9"/>
      <c r="I25" s="9"/>
      <c r="J25" s="9"/>
      <c r="K25" s="9"/>
      <c r="L25" s="9"/>
    </row>
    <row r="26">
      <c r="B26" s="9"/>
      <c r="C26" s="9"/>
      <c r="D26" s="9"/>
      <c r="E26" s="9"/>
      <c r="F26" s="9"/>
      <c r="G26" s="9"/>
      <c r="H26" s="9"/>
      <c r="I26" s="9"/>
      <c r="J26" s="9"/>
      <c r="K26" s="9"/>
      <c r="L26" s="9"/>
    </row>
    <row r="27">
      <c r="B27" s="9"/>
      <c r="C27" s="9"/>
      <c r="D27" s="9"/>
      <c r="E27" s="9"/>
      <c r="F27" s="9"/>
      <c r="G27" s="9"/>
      <c r="H27" s="9"/>
      <c r="I27" s="9"/>
      <c r="J27" s="9"/>
      <c r="K27" s="9"/>
      <c r="L27" s="9"/>
    </row>
    <row r="28">
      <c r="B28" s="9"/>
      <c r="C28" s="9"/>
      <c r="D28" s="9"/>
      <c r="E28" s="9"/>
      <c r="F28" s="9"/>
      <c r="G28" s="9"/>
      <c r="H28" s="9"/>
      <c r="I28" s="9"/>
      <c r="J28" s="9"/>
      <c r="K28" s="9"/>
      <c r="L28" s="9"/>
    </row>
    <row r="29">
      <c r="B29" s="9"/>
      <c r="C29" s="9"/>
      <c r="D29" s="9"/>
      <c r="E29" s="9"/>
      <c r="F29" s="9"/>
      <c r="G29" s="9"/>
      <c r="H29" s="9"/>
      <c r="I29" s="9"/>
      <c r="J29" s="9"/>
      <c r="K29" s="9"/>
      <c r="L29" s="9"/>
    </row>
    <row r="30">
      <c r="B30" s="9"/>
      <c r="C30" s="9"/>
      <c r="D30" s="9"/>
      <c r="E30" s="9"/>
      <c r="F30" s="9"/>
      <c r="G30" s="9"/>
      <c r="H30" s="9"/>
      <c r="I30" s="9"/>
      <c r="J30" s="9"/>
      <c r="K30" s="9"/>
      <c r="L30" s="9"/>
    </row>
    <row r="31">
      <c r="B31" s="9"/>
      <c r="C31" s="9"/>
      <c r="D31" s="9"/>
      <c r="E31" s="9"/>
      <c r="F31" s="9"/>
      <c r="G31" s="9"/>
      <c r="H31" s="9"/>
      <c r="I31" s="9"/>
      <c r="J31" s="9"/>
      <c r="K31" s="9"/>
      <c r="L31" s="9"/>
    </row>
    <row r="32">
      <c r="B32" s="9"/>
      <c r="C32" s="9"/>
      <c r="D32" s="9"/>
      <c r="E32" s="9"/>
      <c r="F32" s="9"/>
      <c r="G32" s="9"/>
      <c r="H32" s="9"/>
      <c r="I32" s="9"/>
      <c r="J32" s="9"/>
      <c r="K32" s="9"/>
      <c r="L32" s="9"/>
    </row>
    <row r="33">
      <c r="B33" s="9"/>
      <c r="C33" s="9"/>
      <c r="D33" s="9"/>
      <c r="E33" s="9"/>
      <c r="F33" s="9"/>
      <c r="G33" s="9"/>
      <c r="H33" s="9"/>
      <c r="I33" s="9"/>
      <c r="J33" s="9"/>
      <c r="K33" s="9"/>
      <c r="L33" s="9"/>
    </row>
    <row r="34">
      <c r="B34" s="9"/>
      <c r="C34" s="9"/>
      <c r="D34" s="9"/>
      <c r="E34" s="9"/>
      <c r="F34" s="9"/>
      <c r="G34" s="9"/>
      <c r="H34" s="9"/>
      <c r="I34" s="9"/>
      <c r="J34" s="9"/>
      <c r="K34" s="9"/>
      <c r="L34" s="9"/>
    </row>
    <row r="35">
      <c r="B35" s="9"/>
      <c r="C35" s="9"/>
      <c r="D35" s="9"/>
      <c r="E35" s="9"/>
      <c r="F35" s="9"/>
      <c r="G35" s="9"/>
      <c r="H35" s="9"/>
      <c r="I35" s="9"/>
      <c r="J35" s="9"/>
      <c r="K35" s="9"/>
      <c r="L35" s="9"/>
    </row>
    <row r="36">
      <c r="B36" s="9"/>
      <c r="C36" s="9"/>
      <c r="D36" s="9"/>
      <c r="E36" s="9"/>
      <c r="F36" s="9"/>
      <c r="G36" s="9"/>
      <c r="H36" s="9"/>
      <c r="I36" s="9"/>
      <c r="J36" s="9"/>
      <c r="K36" s="9"/>
      <c r="L36" s="9"/>
    </row>
    <row r="37">
      <c r="B37" s="9"/>
      <c r="C37" s="9"/>
      <c r="D37" s="9"/>
      <c r="E37" s="9"/>
      <c r="F37" s="9"/>
      <c r="G37" s="9"/>
      <c r="H37" s="9"/>
      <c r="I37" s="9"/>
      <c r="J37" s="9"/>
      <c r="K37" s="9"/>
      <c r="L37" s="9"/>
    </row>
    <row r="38">
      <c r="B38" s="9"/>
      <c r="C38" s="9"/>
      <c r="D38" s="9"/>
      <c r="E38" s="9"/>
      <c r="F38" s="9"/>
      <c r="G38" s="9"/>
      <c r="H38" s="9"/>
      <c r="I38" s="9"/>
      <c r="J38" s="9"/>
      <c r="K38" s="9"/>
      <c r="L38" s="9"/>
    </row>
    <row r="39">
      <c r="B39" s="9"/>
      <c r="C39" s="9"/>
      <c r="D39" s="9"/>
      <c r="E39" s="9"/>
      <c r="F39" s="9"/>
      <c r="G39" s="9"/>
      <c r="H39" s="9"/>
      <c r="I39" s="9"/>
      <c r="J39" s="9"/>
      <c r="K39" s="9"/>
      <c r="L39" s="9"/>
    </row>
    <row r="40">
      <c r="B40" s="9"/>
      <c r="C40" s="9"/>
      <c r="D40" s="9"/>
      <c r="E40" s="9"/>
      <c r="F40" s="9"/>
      <c r="G40" s="9"/>
      <c r="H40" s="9"/>
      <c r="I40" s="9"/>
      <c r="J40" s="9"/>
      <c r="K40" s="9"/>
      <c r="L40" s="9"/>
    </row>
    <row r="41">
      <c r="B41" s="9"/>
      <c r="C41" s="9"/>
      <c r="D41" s="9"/>
      <c r="E41" s="9"/>
      <c r="F41" s="9"/>
      <c r="G41" s="9"/>
      <c r="H41" s="9"/>
      <c r="I41" s="9"/>
      <c r="J41" s="9"/>
      <c r="K41" s="9"/>
      <c r="L41" s="9"/>
    </row>
    <row r="42">
      <c r="B42" s="9"/>
      <c r="C42" s="9"/>
      <c r="D42" s="9"/>
      <c r="E42" s="9"/>
      <c r="F42" s="9"/>
      <c r="G42" s="9"/>
      <c r="H42" s="9"/>
      <c r="I42" s="9"/>
      <c r="J42" s="9"/>
      <c r="K42" s="9"/>
      <c r="L42" s="9"/>
    </row>
    <row r="43">
      <c r="B43" s="9"/>
      <c r="C43" s="9"/>
      <c r="D43" s="9"/>
      <c r="E43" s="9"/>
      <c r="F43" s="9"/>
      <c r="G43" s="9"/>
      <c r="H43" s="9"/>
      <c r="I43" s="9"/>
      <c r="J43" s="9"/>
      <c r="K43" s="9"/>
      <c r="L43" s="9"/>
    </row>
    <row r="44">
      <c r="B44" s="9"/>
      <c r="C44" s="9"/>
      <c r="D44" s="9"/>
      <c r="E44" s="9"/>
      <c r="F44" s="9"/>
      <c r="G44" s="9"/>
      <c r="H44" s="9"/>
      <c r="I44" s="9"/>
      <c r="J44" s="9"/>
      <c r="K44" s="9"/>
      <c r="L44" s="9"/>
    </row>
    <row r="45">
      <c r="B45" s="9"/>
      <c r="C45" s="9"/>
      <c r="D45" s="9"/>
      <c r="E45" s="9"/>
      <c r="F45" s="9"/>
      <c r="G45" s="9"/>
      <c r="H45" s="9"/>
      <c r="I45" s="9"/>
      <c r="J45" s="9"/>
      <c r="K45" s="9"/>
      <c r="L45" s="9"/>
    </row>
    <row r="46">
      <c r="B46" s="9"/>
      <c r="C46" s="9"/>
      <c r="D46" s="9"/>
      <c r="E46" s="9"/>
      <c r="F46" s="9"/>
      <c r="G46" s="9"/>
      <c r="H46" s="9"/>
      <c r="I46" s="9"/>
      <c r="J46" s="9"/>
      <c r="K46" s="9"/>
      <c r="L46" s="9"/>
    </row>
    <row r="47">
      <c r="B47" s="9"/>
      <c r="C47" s="9"/>
      <c r="D47" s="9"/>
      <c r="E47" s="9"/>
      <c r="F47" s="9"/>
      <c r="G47" s="9"/>
      <c r="H47" s="9"/>
      <c r="I47" s="9"/>
      <c r="J47" s="9"/>
      <c r="K47" s="9"/>
      <c r="L47" s="9"/>
    </row>
    <row r="48">
      <c r="B48" s="9"/>
      <c r="C48" s="9"/>
      <c r="D48" s="9"/>
      <c r="E48" s="9"/>
      <c r="F48" s="9"/>
      <c r="G48" s="9"/>
      <c r="H48" s="9"/>
      <c r="I48" s="9"/>
      <c r="J48" s="9"/>
      <c r="K48" s="9"/>
      <c r="L48" s="9"/>
    </row>
    <row r="49">
      <c r="B49" s="9"/>
      <c r="C49" s="9"/>
      <c r="D49" s="9"/>
      <c r="E49" s="9"/>
      <c r="F49" s="9"/>
      <c r="G49" s="9"/>
      <c r="H49" s="9"/>
      <c r="I49" s="9"/>
      <c r="J49" s="9"/>
      <c r="K49" s="9"/>
      <c r="L49" s="9"/>
    </row>
  </sheetData>
  <mergeCells count="27">
    <mergeCell ref="A2:L2"/>
    <mergeCell ref="B3:G3"/>
    <mergeCell ref="H3:L3"/>
    <mergeCell ref="B4:G4"/>
    <mergeCell ref="H4:L4"/>
    <mergeCell ref="B5:G5"/>
    <mergeCell ref="H5:L5"/>
    <mergeCell ref="B6:G6"/>
    <mergeCell ref="H6:L6"/>
    <mergeCell ref="B7:G7"/>
    <mergeCell ref="H7:L7"/>
    <mergeCell ref="B8:G8"/>
    <mergeCell ref="H8:L8"/>
    <mergeCell ref="H9:L9"/>
    <mergeCell ref="B13:G13"/>
    <mergeCell ref="H13:L13"/>
    <mergeCell ref="B14:G14"/>
    <mergeCell ref="H14:L14"/>
    <mergeCell ref="B15:G15"/>
    <mergeCell ref="H15:L15"/>
    <mergeCell ref="B9:G9"/>
    <mergeCell ref="B10:G10"/>
    <mergeCell ref="H10:L10"/>
    <mergeCell ref="B11:G11"/>
    <mergeCell ref="H11:L11"/>
    <mergeCell ref="B12:G12"/>
    <mergeCell ref="H12:L12"/>
  </mergeCells>
  <hyperlinks>
    <hyperlink r:id="rId1" ref="H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54.63"/>
    <col customWidth="1" min="3" max="3" width="130.5"/>
  </cols>
  <sheetData>
    <row r="1">
      <c r="A1" s="300" t="s">
        <v>491</v>
      </c>
    </row>
    <row r="2">
      <c r="A2" s="36" t="s">
        <v>492</v>
      </c>
      <c r="B2" s="36" t="s">
        <v>494</v>
      </c>
      <c r="C2" s="36" t="s">
        <v>495</v>
      </c>
    </row>
    <row r="3">
      <c r="A3" s="302" t="s">
        <v>496</v>
      </c>
      <c r="B3" s="302" t="s">
        <v>497</v>
      </c>
      <c r="C3" s="303" t="s">
        <v>500</v>
      </c>
    </row>
    <row r="4">
      <c r="A4" s="302" t="s">
        <v>504</v>
      </c>
      <c r="B4" s="302" t="s">
        <v>505</v>
      </c>
      <c r="C4" s="303" t="s">
        <v>506</v>
      </c>
    </row>
    <row r="5">
      <c r="A5" s="302" t="s">
        <v>507</v>
      </c>
      <c r="B5" s="302" t="s">
        <v>508</v>
      </c>
      <c r="C5" s="303" t="s">
        <v>509</v>
      </c>
    </row>
    <row r="6">
      <c r="A6" s="302" t="s">
        <v>507</v>
      </c>
      <c r="B6" s="302" t="s">
        <v>512</v>
      </c>
      <c r="C6" s="303" t="s">
        <v>513</v>
      </c>
    </row>
    <row r="7">
      <c r="A7" s="302" t="s">
        <v>507</v>
      </c>
      <c r="B7" s="302" t="s">
        <v>517</v>
      </c>
      <c r="C7" s="306" t="s">
        <v>518</v>
      </c>
    </row>
    <row r="8">
      <c r="A8" s="302" t="s">
        <v>507</v>
      </c>
      <c r="B8" s="302" t="s">
        <v>522</v>
      </c>
      <c r="C8" s="303" t="s">
        <v>523</v>
      </c>
    </row>
    <row r="9">
      <c r="A9" s="302" t="s">
        <v>507</v>
      </c>
      <c r="B9" s="302" t="s">
        <v>528</v>
      </c>
      <c r="C9" s="303" t="s">
        <v>529</v>
      </c>
    </row>
    <row r="10">
      <c r="A10" s="302" t="s">
        <v>507</v>
      </c>
      <c r="B10" s="302" t="s">
        <v>533</v>
      </c>
      <c r="C10" s="303" t="s">
        <v>534</v>
      </c>
    </row>
    <row r="11">
      <c r="A11" s="302" t="s">
        <v>507</v>
      </c>
      <c r="B11" s="302" t="s">
        <v>538</v>
      </c>
      <c r="C11" s="303" t="s">
        <v>539</v>
      </c>
    </row>
    <row r="12">
      <c r="A12" s="302" t="s">
        <v>544</v>
      </c>
      <c r="B12" s="302" t="s">
        <v>545</v>
      </c>
      <c r="C12" s="302" t="s">
        <v>547</v>
      </c>
    </row>
    <row r="13">
      <c r="A13" s="302" t="s">
        <v>548</v>
      </c>
      <c r="B13" s="302" t="s">
        <v>549</v>
      </c>
      <c r="C13" s="303" t="s">
        <v>550</v>
      </c>
    </row>
    <row r="14">
      <c r="A14" s="302" t="s">
        <v>551</v>
      </c>
      <c r="B14" s="302" t="s">
        <v>552</v>
      </c>
      <c r="C14" s="302" t="s">
        <v>553</v>
      </c>
    </row>
    <row r="15">
      <c r="A15" s="302" t="s">
        <v>551</v>
      </c>
      <c r="B15" s="302" t="s">
        <v>554</v>
      </c>
      <c r="C15" s="306" t="s">
        <v>555</v>
      </c>
    </row>
    <row r="16">
      <c r="A16" s="302" t="s">
        <v>551</v>
      </c>
      <c r="B16" s="302" t="s">
        <v>556</v>
      </c>
      <c r="C16" s="303" t="s">
        <v>557</v>
      </c>
    </row>
    <row r="17">
      <c r="A17" s="302" t="s">
        <v>551</v>
      </c>
      <c r="B17" s="302" t="s">
        <v>558</v>
      </c>
      <c r="C17" s="303" t="s">
        <v>559</v>
      </c>
    </row>
    <row r="18">
      <c r="A18" s="302" t="s">
        <v>551</v>
      </c>
      <c r="B18" s="302" t="s">
        <v>560</v>
      </c>
      <c r="C18" s="303" t="s">
        <v>561</v>
      </c>
    </row>
    <row r="19">
      <c r="A19" s="302" t="s">
        <v>551</v>
      </c>
      <c r="B19" s="302" t="s">
        <v>562</v>
      </c>
      <c r="C19" s="303" t="s">
        <v>563</v>
      </c>
    </row>
    <row r="20">
      <c r="A20" s="302" t="s">
        <v>564</v>
      </c>
      <c r="B20" s="302" t="s">
        <v>565</v>
      </c>
      <c r="C20" s="306" t="s">
        <v>566</v>
      </c>
    </row>
    <row r="21">
      <c r="A21" s="302" t="s">
        <v>564</v>
      </c>
      <c r="B21" s="306" t="s">
        <v>567</v>
      </c>
      <c r="C21" s="303" t="s">
        <v>568</v>
      </c>
    </row>
    <row r="22">
      <c r="A22" s="302" t="s">
        <v>569</v>
      </c>
      <c r="B22" s="302" t="s">
        <v>570</v>
      </c>
      <c r="C22" s="303" t="s">
        <v>571</v>
      </c>
    </row>
    <row r="23">
      <c r="A23" s="302" t="s">
        <v>572</v>
      </c>
      <c r="B23" s="302" t="s">
        <v>573</v>
      </c>
      <c r="C23" s="302" t="s">
        <v>574</v>
      </c>
    </row>
    <row r="24">
      <c r="A24" s="302" t="s">
        <v>575</v>
      </c>
      <c r="B24" s="302" t="s">
        <v>576</v>
      </c>
      <c r="C24" s="302" t="s">
        <v>577</v>
      </c>
    </row>
    <row r="25">
      <c r="A25" s="302" t="s">
        <v>578</v>
      </c>
      <c r="B25" s="302" t="s">
        <v>579</v>
      </c>
      <c r="C25" s="303" t="s">
        <v>580</v>
      </c>
    </row>
    <row r="26">
      <c r="A26" s="302" t="s">
        <v>581</v>
      </c>
      <c r="B26" s="302" t="s">
        <v>582</v>
      </c>
      <c r="C26" s="302" t="s">
        <v>583</v>
      </c>
    </row>
    <row r="27">
      <c r="A27" s="312"/>
      <c r="B27" s="312"/>
      <c r="C27" s="312"/>
    </row>
    <row r="28">
      <c r="A28" s="312"/>
      <c r="B28" s="312"/>
      <c r="C28" s="312"/>
    </row>
    <row r="29">
      <c r="A29" s="312"/>
      <c r="B29" s="312"/>
      <c r="C29" s="312"/>
    </row>
    <row r="30">
      <c r="A30" s="312"/>
      <c r="B30" s="312"/>
      <c r="C30" s="312"/>
    </row>
    <row r="31">
      <c r="A31" s="312"/>
      <c r="B31" s="312"/>
      <c r="C31" s="312"/>
    </row>
    <row r="32">
      <c r="A32" s="312"/>
      <c r="B32" s="312"/>
      <c r="C32" s="312"/>
    </row>
    <row r="33">
      <c r="A33" s="312"/>
      <c r="B33" s="312"/>
      <c r="C33" s="312"/>
    </row>
    <row r="34">
      <c r="A34" s="312"/>
      <c r="B34" s="312"/>
      <c r="C34" s="312"/>
    </row>
    <row r="35">
      <c r="A35" s="312"/>
      <c r="B35" s="312"/>
      <c r="C35" s="312"/>
    </row>
    <row r="36">
      <c r="A36" s="312"/>
      <c r="B36" s="312"/>
      <c r="C36" s="312"/>
    </row>
    <row r="37">
      <c r="A37" s="312"/>
      <c r="B37" s="312"/>
      <c r="C37" s="312"/>
    </row>
    <row r="38">
      <c r="A38" s="312"/>
      <c r="B38" s="312"/>
      <c r="C38" s="312"/>
    </row>
    <row r="39">
      <c r="A39" s="312"/>
      <c r="B39" s="312"/>
      <c r="C39" s="312"/>
    </row>
    <row r="40">
      <c r="A40" s="312"/>
      <c r="B40" s="312"/>
      <c r="C40" s="312"/>
    </row>
    <row r="41">
      <c r="A41" s="312"/>
      <c r="B41" s="312"/>
      <c r="C41" s="312"/>
    </row>
  </sheetData>
  <autoFilter ref="$A$2:$B$1000">
    <sortState ref="A2:B1000">
      <sortCondition ref="A2:A1000"/>
    </sortState>
  </autoFilter>
  <mergeCells count="1">
    <mergeCell ref="A1:C1"/>
  </mergeCells>
  <hyperlinks>
    <hyperlink r:id="rId1" ref="C3"/>
    <hyperlink r:id="rId2" ref="C4"/>
    <hyperlink r:id="rId3" ref="C5"/>
    <hyperlink r:id="rId4" ref="C6"/>
    <hyperlink r:id="rId5" ref="C7"/>
    <hyperlink r:id="rId6" ref="C8"/>
    <hyperlink r:id="rId7" ref="C9"/>
    <hyperlink r:id="rId8" ref="C10"/>
    <hyperlink r:id="rId9" ref="C11"/>
    <hyperlink r:id="rId10" ref="C13"/>
    <hyperlink r:id="rId11" ref="C15"/>
    <hyperlink r:id="rId12" ref="C16"/>
    <hyperlink r:id="rId13" location="vpn" ref="C17"/>
    <hyperlink r:id="rId14" ref="C18"/>
    <hyperlink r:id="rId15" ref="C19"/>
    <hyperlink r:id="rId16" ref="C20"/>
    <hyperlink r:id="rId17" ref="B21"/>
    <hyperlink r:id="rId18" ref="C21"/>
    <hyperlink r:id="rId19" ref="C22"/>
    <hyperlink r:id="rId20" ref="C25"/>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2.75"/>
  <cols>
    <col customWidth="1" min="1" max="1" width="5.63"/>
    <col customWidth="1" min="2" max="2" width="20.38"/>
    <col customWidth="1" min="3" max="3" width="3.38"/>
    <col customWidth="1" min="4" max="4" width="8.13"/>
    <col customWidth="1" min="5" max="5" width="5.75"/>
    <col customWidth="1" min="6" max="8" width="6.13"/>
    <col customWidth="1" min="9" max="14" width="4.25"/>
    <col customWidth="1" min="15" max="15" width="5.0"/>
    <col customWidth="1" min="16" max="19" width="5.13"/>
    <col customWidth="1" min="20" max="22" width="5.0"/>
    <col customWidth="1" min="23" max="25" width="5.13"/>
    <col customWidth="1" min="26" max="55" width="5.25"/>
    <col customWidth="1" hidden="1" min="56" max="58" width="5.25"/>
    <col customWidth="1" min="59" max="59" width="5.25"/>
    <col customWidth="1" hidden="1" min="60" max="65" width="5.25"/>
    <col customWidth="1" min="66" max="74" width="8.25"/>
    <col customWidth="1" min="75" max="75" width="15.75"/>
    <col customWidth="1" min="76" max="76" width="5.25"/>
    <col customWidth="1" min="77" max="77" width="13.13"/>
  </cols>
  <sheetData>
    <row r="1">
      <c r="A1" s="31">
        <v>4.0</v>
      </c>
      <c r="BA1" s="313"/>
      <c r="BB1" s="314" t="s">
        <v>584</v>
      </c>
      <c r="BC1" s="314" t="s">
        <v>489</v>
      </c>
      <c r="BG1" s="313"/>
      <c r="BM1" s="314" t="s">
        <v>489</v>
      </c>
      <c r="BX1" s="313"/>
      <c r="BY1" s="315"/>
    </row>
    <row r="2">
      <c r="A2" s="31">
        <v>4.0</v>
      </c>
      <c r="F2" s="17"/>
      <c r="I2" s="316"/>
      <c r="J2" s="316" t="s">
        <v>585</v>
      </c>
      <c r="T2" s="183"/>
      <c r="U2" s="183" t="s">
        <v>586</v>
      </c>
      <c r="AE2" s="316" t="s">
        <v>587</v>
      </c>
      <c r="AP2" s="183" t="s">
        <v>588</v>
      </c>
      <c r="BA2" s="317"/>
      <c r="BB2" s="14"/>
      <c r="BC2" s="14"/>
      <c r="BD2" s="318"/>
      <c r="BE2" s="318"/>
      <c r="BF2" s="318"/>
      <c r="BG2" s="317"/>
      <c r="BH2" s="319"/>
      <c r="BI2" s="319"/>
      <c r="BJ2" s="319"/>
      <c r="BK2" s="319"/>
      <c r="BL2" s="319"/>
      <c r="BM2" s="14"/>
      <c r="BX2" s="317"/>
      <c r="BY2" s="315"/>
    </row>
    <row r="3">
      <c r="F3" s="17"/>
      <c r="I3" s="320"/>
      <c r="J3" s="321">
        <v>1.0</v>
      </c>
      <c r="K3" s="8"/>
      <c r="L3" s="8"/>
      <c r="M3" s="8"/>
      <c r="N3" s="13"/>
      <c r="O3" s="321">
        <f>J3+1</f>
        <v>2</v>
      </c>
      <c r="P3" s="8"/>
      <c r="Q3" s="8"/>
      <c r="R3" s="8"/>
      <c r="S3" s="13"/>
      <c r="T3" s="320"/>
      <c r="U3" s="321">
        <f>O3+1</f>
        <v>3</v>
      </c>
      <c r="V3" s="8"/>
      <c r="W3" s="8"/>
      <c r="X3" s="8"/>
      <c r="Y3" s="13"/>
      <c r="Z3" s="321">
        <f>U3+1</f>
        <v>4</v>
      </c>
      <c r="AA3" s="8"/>
      <c r="AB3" s="8"/>
      <c r="AC3" s="8"/>
      <c r="AD3" s="13"/>
      <c r="AE3" s="321">
        <f>Z3+1</f>
        <v>5</v>
      </c>
      <c r="AF3" s="8"/>
      <c r="AG3" s="8"/>
      <c r="AH3" s="8"/>
      <c r="AI3" s="8"/>
      <c r="AJ3" s="13"/>
      <c r="AK3" s="321">
        <v>6.0</v>
      </c>
      <c r="AL3" s="8"/>
      <c r="AM3" s="8"/>
      <c r="AN3" s="8"/>
      <c r="AO3" s="13"/>
      <c r="AP3" s="320"/>
      <c r="AQ3" s="321">
        <v>7.0</v>
      </c>
      <c r="AR3" s="8"/>
      <c r="AS3" s="8"/>
      <c r="AT3" s="8"/>
      <c r="AU3" s="13"/>
      <c r="AV3" s="321">
        <f>AQ3+1</f>
        <v>8</v>
      </c>
      <c r="AW3" s="8"/>
      <c r="AX3" s="8"/>
      <c r="AY3" s="8"/>
      <c r="AZ3" s="13"/>
      <c r="BA3" s="322"/>
      <c r="BB3" s="14"/>
      <c r="BC3" s="14"/>
      <c r="BD3" s="323"/>
      <c r="BE3" s="323"/>
      <c r="BF3" s="324"/>
      <c r="BG3" s="322"/>
      <c r="BH3" s="321">
        <f>BB3+1</f>
        <v>1</v>
      </c>
      <c r="BI3" s="8"/>
      <c r="BJ3" s="8"/>
      <c r="BK3" s="8"/>
      <c r="BL3" s="13"/>
      <c r="BM3" s="14"/>
      <c r="BN3" s="325">
        <v>45069.0</v>
      </c>
      <c r="BO3" s="3"/>
      <c r="BP3" s="3"/>
      <c r="BQ3" s="326">
        <v>45072.0</v>
      </c>
      <c r="BR3" s="3"/>
      <c r="BS3" s="5"/>
      <c r="BT3" s="326">
        <v>45073.0</v>
      </c>
      <c r="BU3" s="3"/>
      <c r="BV3" s="5"/>
      <c r="BW3" s="327" t="s">
        <v>589</v>
      </c>
      <c r="BX3" s="322"/>
      <c r="BY3" s="324" t="s">
        <v>590</v>
      </c>
    </row>
    <row r="4" hidden="1">
      <c r="I4" s="328"/>
      <c r="J4" s="152" t="s">
        <v>591</v>
      </c>
      <c r="K4" s="31"/>
      <c r="L4" s="31" t="s">
        <v>592</v>
      </c>
      <c r="M4" s="31" t="s">
        <v>591</v>
      </c>
      <c r="N4" s="329" t="s">
        <v>592</v>
      </c>
      <c r="O4" s="330" t="s">
        <v>592</v>
      </c>
      <c r="P4" s="331" t="s">
        <v>591</v>
      </c>
      <c r="Q4" s="331" t="s">
        <v>592</v>
      </c>
      <c r="R4" s="331" t="s">
        <v>591</v>
      </c>
      <c r="S4" s="332" t="s">
        <v>592</v>
      </c>
      <c r="T4" s="331"/>
      <c r="U4" s="330" t="s">
        <v>592</v>
      </c>
      <c r="V4" s="331" t="s">
        <v>591</v>
      </c>
      <c r="W4" s="331" t="s">
        <v>592</v>
      </c>
      <c r="X4" s="331" t="s">
        <v>591</v>
      </c>
      <c r="Y4" s="332" t="s">
        <v>592</v>
      </c>
      <c r="Z4" s="330" t="s">
        <v>592</v>
      </c>
      <c r="AA4" s="331" t="s">
        <v>591</v>
      </c>
      <c r="AB4" s="331" t="s">
        <v>592</v>
      </c>
      <c r="AC4" s="331" t="s">
        <v>591</v>
      </c>
      <c r="AD4" s="332" t="s">
        <v>592</v>
      </c>
      <c r="AE4" s="331" t="s">
        <v>591</v>
      </c>
      <c r="AF4" s="330" t="s">
        <v>592</v>
      </c>
      <c r="AG4" s="331" t="s">
        <v>591</v>
      </c>
      <c r="AH4" s="331" t="s">
        <v>592</v>
      </c>
      <c r="AI4" s="331" t="s">
        <v>591</v>
      </c>
      <c r="AJ4" s="332" t="s">
        <v>592</v>
      </c>
      <c r="AK4" s="330" t="s">
        <v>592</v>
      </c>
      <c r="AL4" s="331" t="s">
        <v>591</v>
      </c>
      <c r="AM4" s="331" t="s">
        <v>592</v>
      </c>
      <c r="AN4" s="331" t="s">
        <v>591</v>
      </c>
      <c r="AO4" s="332" t="s">
        <v>592</v>
      </c>
      <c r="AP4" s="331"/>
      <c r="AQ4" s="330" t="s">
        <v>592</v>
      </c>
      <c r="AR4" s="331" t="s">
        <v>591</v>
      </c>
      <c r="AS4" s="331" t="s">
        <v>592</v>
      </c>
      <c r="AT4" s="331" t="s">
        <v>591</v>
      </c>
      <c r="AU4" s="332" t="s">
        <v>592</v>
      </c>
      <c r="AV4" s="330" t="s">
        <v>592</v>
      </c>
      <c r="AW4" s="331" t="s">
        <v>591</v>
      </c>
      <c r="AX4" s="331" t="s">
        <v>592</v>
      </c>
      <c r="AY4" s="331" t="s">
        <v>591</v>
      </c>
      <c r="AZ4" s="332" t="s">
        <v>592</v>
      </c>
      <c r="BA4" s="333"/>
      <c r="BB4" s="330" t="s">
        <v>592</v>
      </c>
      <c r="BC4" s="331" t="s">
        <v>591</v>
      </c>
      <c r="BD4" s="331" t="s">
        <v>592</v>
      </c>
      <c r="BE4" s="331" t="s">
        <v>591</v>
      </c>
      <c r="BF4" s="332" t="s">
        <v>592</v>
      </c>
      <c r="BG4" s="333"/>
      <c r="BH4" s="330" t="s">
        <v>592</v>
      </c>
      <c r="BI4" s="331" t="s">
        <v>591</v>
      </c>
      <c r="BJ4" s="331" t="s">
        <v>592</v>
      </c>
      <c r="BK4" s="331" t="s">
        <v>591</v>
      </c>
      <c r="BL4" s="332" t="s">
        <v>592</v>
      </c>
      <c r="BM4" s="152" t="s">
        <v>591</v>
      </c>
      <c r="BN4" s="334"/>
      <c r="BO4" s="334"/>
      <c r="BP4" s="334" t="s">
        <v>592</v>
      </c>
      <c r="BQ4" s="334"/>
      <c r="BR4" s="334" t="s">
        <v>592</v>
      </c>
      <c r="BS4" s="334"/>
      <c r="BT4" s="334"/>
      <c r="BU4" s="334"/>
      <c r="BV4" s="334"/>
      <c r="BW4" s="334"/>
      <c r="BX4" s="333"/>
      <c r="BY4" s="335"/>
    </row>
    <row r="5" ht="83.25" customHeight="1">
      <c r="A5" s="186" t="s">
        <v>249</v>
      </c>
      <c r="B5" s="186" t="s">
        <v>250</v>
      </c>
      <c r="C5" s="186"/>
      <c r="D5" s="186" t="s">
        <v>251</v>
      </c>
      <c r="E5" s="188" t="s">
        <v>252</v>
      </c>
      <c r="F5" s="336" t="s">
        <v>593</v>
      </c>
      <c r="G5" s="336" t="s">
        <v>594</v>
      </c>
      <c r="H5" s="337" t="s">
        <v>595</v>
      </c>
      <c r="I5" s="338" t="s">
        <v>596</v>
      </c>
      <c r="J5" s="339">
        <v>45368.0</v>
      </c>
      <c r="K5" s="339">
        <f t="shared" ref="K5:N5" si="1">J5+1</f>
        <v>45369</v>
      </c>
      <c r="L5" s="339">
        <f t="shared" si="1"/>
        <v>45370</v>
      </c>
      <c r="M5" s="339">
        <f t="shared" si="1"/>
        <v>45371</v>
      </c>
      <c r="N5" s="339">
        <f t="shared" si="1"/>
        <v>45372</v>
      </c>
      <c r="O5" s="339">
        <f>J5+7</f>
        <v>45375</v>
      </c>
      <c r="P5" s="339">
        <f t="shared" ref="P5:S5" si="2">O5+1</f>
        <v>45376</v>
      </c>
      <c r="Q5" s="339">
        <f t="shared" si="2"/>
        <v>45377</v>
      </c>
      <c r="R5" s="339">
        <f t="shared" si="2"/>
        <v>45378</v>
      </c>
      <c r="S5" s="339">
        <f t="shared" si="2"/>
        <v>45379</v>
      </c>
      <c r="T5" s="339" t="s">
        <v>596</v>
      </c>
      <c r="U5" s="339">
        <f>O5+7</f>
        <v>45382</v>
      </c>
      <c r="V5" s="339">
        <f t="shared" ref="V5:Y5" si="3">U5+1</f>
        <v>45383</v>
      </c>
      <c r="W5" s="339">
        <f t="shared" si="3"/>
        <v>45384</v>
      </c>
      <c r="X5" s="339">
        <f t="shared" si="3"/>
        <v>45385</v>
      </c>
      <c r="Y5" s="339">
        <f t="shared" si="3"/>
        <v>45386</v>
      </c>
      <c r="Z5" s="339">
        <f>U5+7</f>
        <v>45389</v>
      </c>
      <c r="AA5" s="339">
        <f t="shared" ref="AA5:AD5" si="4">Z5+1</f>
        <v>45390</v>
      </c>
      <c r="AB5" s="339">
        <f t="shared" si="4"/>
        <v>45391</v>
      </c>
      <c r="AC5" s="339">
        <f t="shared" si="4"/>
        <v>45392</v>
      </c>
      <c r="AD5" s="339">
        <f t="shared" si="4"/>
        <v>45393</v>
      </c>
      <c r="AE5" s="339" t="s">
        <v>596</v>
      </c>
      <c r="AF5" s="340">
        <f>AD5+3+7</f>
        <v>45403</v>
      </c>
      <c r="AG5" s="339">
        <f t="shared" ref="AG5:AJ5" si="5">AF5+1</f>
        <v>45404</v>
      </c>
      <c r="AH5" s="339">
        <f t="shared" si="5"/>
        <v>45405</v>
      </c>
      <c r="AI5" s="339">
        <f t="shared" si="5"/>
        <v>45406</v>
      </c>
      <c r="AJ5" s="339">
        <f t="shared" si="5"/>
        <v>45407</v>
      </c>
      <c r="AK5" s="339">
        <f>AF5+7</f>
        <v>45410</v>
      </c>
      <c r="AL5" s="339">
        <f t="shared" ref="AL5:AO5" si="6">AK5+1</f>
        <v>45411</v>
      </c>
      <c r="AM5" s="339">
        <f t="shared" si="6"/>
        <v>45412</v>
      </c>
      <c r="AN5" s="340">
        <f t="shared" si="6"/>
        <v>45413</v>
      </c>
      <c r="AO5" s="340">
        <f t="shared" si="6"/>
        <v>45414</v>
      </c>
      <c r="AP5" s="339" t="s">
        <v>596</v>
      </c>
      <c r="AQ5" s="339">
        <f>AK5+7</f>
        <v>45417</v>
      </c>
      <c r="AR5" s="339">
        <f t="shared" ref="AR5:AU5" si="7">AQ5+1</f>
        <v>45418</v>
      </c>
      <c r="AS5" s="339">
        <f t="shared" si="7"/>
        <v>45419</v>
      </c>
      <c r="AT5" s="339">
        <f t="shared" si="7"/>
        <v>45420</v>
      </c>
      <c r="AU5" s="339">
        <f t="shared" si="7"/>
        <v>45421</v>
      </c>
      <c r="AV5" s="339">
        <f>AQ5+7</f>
        <v>45424</v>
      </c>
      <c r="AW5" s="339">
        <f t="shared" ref="AW5:AZ5" si="8">AV5+1</f>
        <v>45425</v>
      </c>
      <c r="AX5" s="339">
        <f t="shared" si="8"/>
        <v>45426</v>
      </c>
      <c r="AY5" s="339">
        <f t="shared" si="8"/>
        <v>45427</v>
      </c>
      <c r="AZ5" s="339">
        <f t="shared" si="8"/>
        <v>45428</v>
      </c>
      <c r="BA5" s="341"/>
      <c r="BB5" s="339">
        <f>AV5+7</f>
        <v>45431</v>
      </c>
      <c r="BC5" s="339">
        <f t="shared" ref="BC5:BF5" si="9">BB5+1</f>
        <v>45432</v>
      </c>
      <c r="BD5" s="339">
        <f t="shared" si="9"/>
        <v>45433</v>
      </c>
      <c r="BE5" s="339">
        <f t="shared" si="9"/>
        <v>45434</v>
      </c>
      <c r="BF5" s="339">
        <f t="shared" si="9"/>
        <v>45435</v>
      </c>
      <c r="BG5" s="341"/>
      <c r="BH5" s="339">
        <f>BB5+7</f>
        <v>45438</v>
      </c>
      <c r="BI5" s="339">
        <f t="shared" ref="BI5:BL5" si="10">BH5+1</f>
        <v>45439</v>
      </c>
      <c r="BJ5" s="339">
        <f t="shared" si="10"/>
        <v>45440</v>
      </c>
      <c r="BK5" s="339">
        <f t="shared" si="10"/>
        <v>45441</v>
      </c>
      <c r="BL5" s="342">
        <f t="shared" si="10"/>
        <v>45442</v>
      </c>
      <c r="BM5" s="343">
        <f>BH5</f>
        <v>45438</v>
      </c>
      <c r="BN5" s="344" t="s">
        <v>597</v>
      </c>
      <c r="BO5" s="344" t="s">
        <v>598</v>
      </c>
      <c r="BP5" s="344" t="s">
        <v>599</v>
      </c>
      <c r="BQ5" s="344" t="s">
        <v>597</v>
      </c>
      <c r="BR5" s="344" t="s">
        <v>598</v>
      </c>
      <c r="BS5" s="344" t="s">
        <v>599</v>
      </c>
      <c r="BT5" s="344" t="s">
        <v>597</v>
      </c>
      <c r="BU5" s="344" t="s">
        <v>598</v>
      </c>
      <c r="BV5" s="344" t="s">
        <v>599</v>
      </c>
      <c r="BW5" s="345" t="s">
        <v>600</v>
      </c>
      <c r="BX5" s="341"/>
      <c r="BY5" s="346"/>
    </row>
    <row r="6">
      <c r="A6" s="347"/>
      <c r="B6" s="348"/>
      <c r="C6" s="349"/>
      <c r="D6" s="350"/>
      <c r="E6" s="351">
        <v>23.0</v>
      </c>
      <c r="F6" s="352">
        <f t="shared" ref="F6:F57" si="11">H6/$H$59</f>
        <v>0</v>
      </c>
      <c r="G6" s="352">
        <f t="shared" ref="G6:G57" si="12">H6/$G$59</f>
        <v>0</v>
      </c>
      <c r="H6" s="353">
        <f t="shared" ref="H6:H57" si="13">sum(J6:BM6)</f>
        <v>0</v>
      </c>
      <c r="I6" s="354"/>
      <c r="J6" s="348"/>
      <c r="K6" s="348"/>
      <c r="L6" s="348"/>
      <c r="M6" s="348"/>
      <c r="N6" s="348"/>
      <c r="O6" s="355"/>
      <c r="P6" s="355"/>
      <c r="Q6" s="355"/>
      <c r="R6" s="355"/>
      <c r="S6" s="355"/>
      <c r="T6" s="354"/>
      <c r="U6" s="348"/>
      <c r="V6" s="348"/>
      <c r="W6" s="355"/>
      <c r="X6" s="355"/>
      <c r="Y6" s="355"/>
      <c r="Z6" s="355"/>
      <c r="AA6" s="355"/>
      <c r="AB6" s="348"/>
      <c r="AC6" s="348"/>
      <c r="AD6" s="348"/>
      <c r="AE6" s="354"/>
      <c r="AF6" s="356"/>
      <c r="AG6" s="348"/>
      <c r="AH6" s="348"/>
      <c r="AI6" s="355"/>
      <c r="AJ6" s="355"/>
      <c r="AK6" s="355"/>
      <c r="AL6" s="355"/>
      <c r="AM6" s="355"/>
      <c r="AN6" s="356"/>
      <c r="AO6" s="356"/>
      <c r="AP6" s="354"/>
      <c r="AQ6" s="348"/>
      <c r="AR6" s="348"/>
      <c r="AS6" s="355"/>
      <c r="AT6" s="355"/>
      <c r="AU6" s="355"/>
      <c r="AV6" s="355"/>
      <c r="AW6" s="355"/>
      <c r="AX6" s="355"/>
      <c r="AY6" s="355"/>
      <c r="AZ6" s="355"/>
      <c r="BA6" s="357"/>
      <c r="BB6" s="355"/>
      <c r="BC6" s="355"/>
      <c r="BD6" s="355"/>
      <c r="BE6" s="355"/>
      <c r="BF6" s="355"/>
      <c r="BG6" s="357"/>
      <c r="BH6" s="348"/>
      <c r="BI6" s="348"/>
      <c r="BJ6" s="348"/>
      <c r="BK6" s="150"/>
      <c r="BL6" s="150"/>
      <c r="BM6" s="150"/>
      <c r="BN6" s="358"/>
      <c r="BO6" s="359"/>
      <c r="BP6" s="359"/>
      <c r="BQ6" s="360"/>
      <c r="BR6" s="361"/>
      <c r="BS6" s="358"/>
      <c r="BT6" s="358"/>
      <c r="BU6" s="358"/>
      <c r="BV6" s="358"/>
      <c r="BW6" s="362"/>
      <c r="BX6" s="357"/>
      <c r="BY6" s="363"/>
    </row>
    <row r="7">
      <c r="A7" s="364"/>
      <c r="B7" s="365"/>
      <c r="C7" s="366"/>
      <c r="D7" s="197"/>
      <c r="E7" s="100">
        <v>23.0</v>
      </c>
      <c r="F7" s="367">
        <f t="shared" si="11"/>
        <v>0</v>
      </c>
      <c r="G7" s="367">
        <f t="shared" si="12"/>
        <v>0</v>
      </c>
      <c r="H7" s="368">
        <f t="shared" si="13"/>
        <v>0</v>
      </c>
      <c r="I7" s="369"/>
      <c r="J7" s="365"/>
      <c r="K7" s="365"/>
      <c r="L7" s="365"/>
      <c r="M7" s="365"/>
      <c r="N7" s="365"/>
      <c r="O7" s="370"/>
      <c r="P7" s="370"/>
      <c r="Q7" s="370"/>
      <c r="R7" s="370"/>
      <c r="S7" s="370"/>
      <c r="T7" s="369"/>
      <c r="U7" s="365"/>
      <c r="V7" s="365"/>
      <c r="W7" s="370"/>
      <c r="X7" s="370"/>
      <c r="Y7" s="370"/>
      <c r="Z7" s="370"/>
      <c r="AA7" s="370"/>
      <c r="AB7" s="365"/>
      <c r="AC7" s="365"/>
      <c r="AD7" s="365"/>
      <c r="AE7" s="369"/>
      <c r="AF7" s="371"/>
      <c r="AG7" s="365"/>
      <c r="AH7" s="365"/>
      <c r="AI7" s="370"/>
      <c r="AJ7" s="370"/>
      <c r="AK7" s="370"/>
      <c r="AL7" s="370"/>
      <c r="AM7" s="370"/>
      <c r="AN7" s="371"/>
      <c r="AO7" s="371"/>
      <c r="AP7" s="369"/>
      <c r="AQ7" s="365"/>
      <c r="AR7" s="365"/>
      <c r="AS7" s="370"/>
      <c r="AT7" s="370"/>
      <c r="AU7" s="370"/>
      <c r="AV7" s="370"/>
      <c r="AW7" s="370"/>
      <c r="AX7" s="370"/>
      <c r="AY7" s="370"/>
      <c r="AZ7" s="370"/>
      <c r="BA7" s="372"/>
      <c r="BB7" s="370"/>
      <c r="BC7" s="370"/>
      <c r="BD7" s="370"/>
      <c r="BE7" s="370"/>
      <c r="BF7" s="370"/>
      <c r="BG7" s="372"/>
      <c r="BH7" s="365"/>
      <c r="BI7" s="365"/>
      <c r="BJ7" s="365"/>
      <c r="BK7" s="31"/>
      <c r="BL7" s="31"/>
      <c r="BM7" s="31"/>
      <c r="BN7" s="373"/>
      <c r="BO7" s="207"/>
      <c r="BP7" s="207"/>
      <c r="BQ7" s="374"/>
      <c r="BR7" s="375"/>
      <c r="BS7" s="373"/>
      <c r="BT7" s="373"/>
      <c r="BU7" s="373"/>
      <c r="BV7" s="373"/>
      <c r="BW7" s="376"/>
      <c r="BX7" s="372"/>
      <c r="BY7" s="377"/>
    </row>
    <row r="8">
      <c r="A8" s="364"/>
      <c r="B8" s="365"/>
      <c r="C8" s="366"/>
      <c r="D8" s="197"/>
      <c r="E8" s="100">
        <v>23.0</v>
      </c>
      <c r="F8" s="367">
        <f t="shared" si="11"/>
        <v>1</v>
      </c>
      <c r="G8" s="367">
        <f t="shared" si="12"/>
        <v>0.005319148936</v>
      </c>
      <c r="H8" s="368">
        <f t="shared" si="13"/>
        <v>1</v>
      </c>
      <c r="I8" s="369"/>
      <c r="J8" s="365">
        <v>1.0</v>
      </c>
      <c r="K8" s="365"/>
      <c r="L8" s="365"/>
      <c r="M8" s="365"/>
      <c r="N8" s="365"/>
      <c r="O8" s="370"/>
      <c r="P8" s="370"/>
      <c r="Q8" s="370"/>
      <c r="R8" s="370"/>
      <c r="S8" s="370"/>
      <c r="T8" s="369"/>
      <c r="U8" s="365"/>
      <c r="V8" s="365"/>
      <c r="W8" s="370"/>
      <c r="X8" s="370"/>
      <c r="Y8" s="370"/>
      <c r="Z8" s="370"/>
      <c r="AA8" s="370"/>
      <c r="AB8" s="365"/>
      <c r="AC8" s="365"/>
      <c r="AD8" s="365"/>
      <c r="AE8" s="369"/>
      <c r="AF8" s="371"/>
      <c r="AG8" s="365"/>
      <c r="AH8" s="365"/>
      <c r="AI8" s="370"/>
      <c r="AJ8" s="370"/>
      <c r="AK8" s="370"/>
      <c r="AL8" s="370"/>
      <c r="AM8" s="370"/>
      <c r="AN8" s="371"/>
      <c r="AO8" s="371"/>
      <c r="AP8" s="369"/>
      <c r="AQ8" s="365"/>
      <c r="AR8" s="365"/>
      <c r="AS8" s="370"/>
      <c r="AT8" s="370"/>
      <c r="AU8" s="370"/>
      <c r="AV8" s="370"/>
      <c r="AW8" s="370"/>
      <c r="AX8" s="370"/>
      <c r="AY8" s="370"/>
      <c r="AZ8" s="370"/>
      <c r="BA8" s="372"/>
      <c r="BB8" s="370"/>
      <c r="BC8" s="370"/>
      <c r="BD8" s="370"/>
      <c r="BE8" s="370"/>
      <c r="BF8" s="370"/>
      <c r="BG8" s="372"/>
      <c r="BH8" s="365"/>
      <c r="BI8" s="365"/>
      <c r="BJ8" s="365"/>
      <c r="BK8" s="31"/>
      <c r="BL8" s="31"/>
      <c r="BM8" s="31"/>
      <c r="BN8" s="373"/>
      <c r="BO8" s="207"/>
      <c r="BP8" s="207"/>
      <c r="BQ8" s="374"/>
      <c r="BR8" s="375"/>
      <c r="BS8" s="373"/>
      <c r="BT8" s="373"/>
      <c r="BU8" s="373"/>
      <c r="BV8" s="373"/>
      <c r="BW8" s="376"/>
      <c r="BX8" s="372"/>
      <c r="BY8" s="377"/>
    </row>
    <row r="9">
      <c r="A9" s="378"/>
      <c r="B9" s="379"/>
      <c r="C9" s="380"/>
      <c r="D9" s="381"/>
      <c r="E9" s="100">
        <v>23.0</v>
      </c>
      <c r="F9" s="382">
        <f t="shared" si="11"/>
        <v>0</v>
      </c>
      <c r="G9" s="382">
        <f t="shared" si="12"/>
        <v>0</v>
      </c>
      <c r="H9" s="383">
        <f t="shared" si="13"/>
        <v>0</v>
      </c>
      <c r="I9" s="369"/>
      <c r="J9" s="379"/>
      <c r="K9" s="379"/>
      <c r="L9" s="379"/>
      <c r="M9" s="379"/>
      <c r="N9" s="379"/>
      <c r="O9" s="384"/>
      <c r="P9" s="384"/>
      <c r="Q9" s="384"/>
      <c r="R9" s="384"/>
      <c r="S9" s="384"/>
      <c r="T9" s="369"/>
      <c r="U9" s="379"/>
      <c r="V9" s="379"/>
      <c r="W9" s="384"/>
      <c r="X9" s="384"/>
      <c r="Y9" s="384"/>
      <c r="Z9" s="384"/>
      <c r="AA9" s="384"/>
      <c r="AB9" s="379"/>
      <c r="AC9" s="379"/>
      <c r="AD9" s="379"/>
      <c r="AE9" s="369"/>
      <c r="AF9" s="386"/>
      <c r="AG9" s="379"/>
      <c r="AH9" s="379"/>
      <c r="AI9" s="384"/>
      <c r="AJ9" s="384"/>
      <c r="AK9" s="384"/>
      <c r="AL9" s="384"/>
      <c r="AM9" s="384"/>
      <c r="AN9" s="386"/>
      <c r="AO9" s="386"/>
      <c r="AP9" s="369"/>
      <c r="AQ9" s="379"/>
      <c r="AR9" s="379"/>
      <c r="AS9" s="384"/>
      <c r="AT9" s="384"/>
      <c r="AU9" s="384"/>
      <c r="AV9" s="384"/>
      <c r="AW9" s="384"/>
      <c r="AX9" s="384"/>
      <c r="AY9" s="384"/>
      <c r="AZ9" s="384"/>
      <c r="BA9" s="388"/>
      <c r="BB9" s="384"/>
      <c r="BC9" s="384"/>
      <c r="BD9" s="384"/>
      <c r="BE9" s="384"/>
      <c r="BF9" s="384"/>
      <c r="BG9" s="388"/>
      <c r="BH9" s="379"/>
      <c r="BI9" s="379"/>
      <c r="BJ9" s="379"/>
      <c r="BK9" s="389"/>
      <c r="BL9" s="331"/>
      <c r="BM9" s="331"/>
      <c r="BN9" s="390"/>
      <c r="BO9" s="391"/>
      <c r="BP9" s="391"/>
      <c r="BQ9" s="392"/>
      <c r="BR9" s="393"/>
      <c r="BS9" s="390"/>
      <c r="BT9" s="390"/>
      <c r="BU9" s="390"/>
      <c r="BV9" s="390"/>
      <c r="BW9" s="395"/>
      <c r="BX9" s="388"/>
      <c r="BY9" s="335"/>
    </row>
    <row r="10">
      <c r="A10" s="378"/>
      <c r="B10" s="379"/>
      <c r="C10" s="380"/>
      <c r="D10" s="381"/>
      <c r="E10" s="100">
        <v>23.0</v>
      </c>
      <c r="F10" s="382">
        <f t="shared" si="11"/>
        <v>0</v>
      </c>
      <c r="G10" s="382">
        <f t="shared" si="12"/>
        <v>0</v>
      </c>
      <c r="H10" s="383">
        <f t="shared" si="13"/>
        <v>0</v>
      </c>
      <c r="I10" s="369"/>
      <c r="J10" s="379"/>
      <c r="K10" s="379"/>
      <c r="L10" s="379"/>
      <c r="M10" s="379"/>
      <c r="N10" s="379"/>
      <c r="O10" s="384"/>
      <c r="P10" s="384"/>
      <c r="Q10" s="384"/>
      <c r="R10" s="384"/>
      <c r="S10" s="384"/>
      <c r="T10" s="369"/>
      <c r="U10" s="379"/>
      <c r="V10" s="379"/>
      <c r="W10" s="384"/>
      <c r="X10" s="384"/>
      <c r="Y10" s="384"/>
      <c r="Z10" s="384"/>
      <c r="AA10" s="384"/>
      <c r="AB10" s="379"/>
      <c r="AC10" s="379"/>
      <c r="AD10" s="379"/>
      <c r="AE10" s="369"/>
      <c r="AF10" s="386"/>
      <c r="AG10" s="379"/>
      <c r="AH10" s="379"/>
      <c r="AI10" s="384"/>
      <c r="AJ10" s="384"/>
      <c r="AK10" s="384"/>
      <c r="AL10" s="384"/>
      <c r="AM10" s="384"/>
      <c r="AN10" s="386"/>
      <c r="AO10" s="386"/>
      <c r="AP10" s="369"/>
      <c r="AQ10" s="379"/>
      <c r="AR10" s="379"/>
      <c r="AS10" s="384"/>
      <c r="AT10" s="384"/>
      <c r="AU10" s="384"/>
      <c r="AV10" s="384"/>
      <c r="AW10" s="384"/>
      <c r="AX10" s="384"/>
      <c r="AY10" s="384"/>
      <c r="AZ10" s="384"/>
      <c r="BA10" s="388"/>
      <c r="BB10" s="384"/>
      <c r="BC10" s="384"/>
      <c r="BD10" s="384"/>
      <c r="BE10" s="384"/>
      <c r="BF10" s="384"/>
      <c r="BG10" s="388"/>
      <c r="BH10" s="379"/>
      <c r="BI10" s="379"/>
      <c r="BJ10" s="379"/>
      <c r="BK10" s="389"/>
      <c r="BL10" s="331"/>
      <c r="BM10" s="331"/>
      <c r="BN10" s="390"/>
      <c r="BO10" s="391"/>
      <c r="BP10" s="391"/>
      <c r="BQ10" s="392"/>
      <c r="BR10" s="393"/>
      <c r="BS10" s="390"/>
      <c r="BT10" s="390"/>
      <c r="BU10" s="390"/>
      <c r="BV10" s="390"/>
      <c r="BW10" s="398"/>
      <c r="BX10" s="388"/>
      <c r="BY10" s="335"/>
    </row>
    <row r="11">
      <c r="A11" s="378"/>
      <c r="B11" s="379"/>
      <c r="C11" s="380"/>
      <c r="D11" s="381"/>
      <c r="E11" s="100">
        <v>23.0</v>
      </c>
      <c r="F11" s="382">
        <f t="shared" si="11"/>
        <v>0</v>
      </c>
      <c r="G11" s="382">
        <f t="shared" si="12"/>
        <v>0</v>
      </c>
      <c r="H11" s="383">
        <f t="shared" si="13"/>
        <v>0</v>
      </c>
      <c r="I11" s="369"/>
      <c r="J11" s="379"/>
      <c r="K11" s="379"/>
      <c r="L11" s="379"/>
      <c r="M11" s="379"/>
      <c r="N11" s="379"/>
      <c r="O11" s="384"/>
      <c r="P11" s="384"/>
      <c r="Q11" s="384"/>
      <c r="R11" s="384"/>
      <c r="S11" s="384"/>
      <c r="T11" s="369"/>
      <c r="U11" s="379"/>
      <c r="V11" s="379"/>
      <c r="W11" s="384"/>
      <c r="X11" s="384"/>
      <c r="Y11" s="384"/>
      <c r="Z11" s="384"/>
      <c r="AA11" s="384"/>
      <c r="AB11" s="379"/>
      <c r="AC11" s="379"/>
      <c r="AD11" s="379"/>
      <c r="AE11" s="369"/>
      <c r="AF11" s="386"/>
      <c r="AG11" s="379"/>
      <c r="AH11" s="379"/>
      <c r="AI11" s="384"/>
      <c r="AJ11" s="384"/>
      <c r="AK11" s="384"/>
      <c r="AL11" s="384"/>
      <c r="AM11" s="384"/>
      <c r="AN11" s="386"/>
      <c r="AO11" s="386"/>
      <c r="AP11" s="369"/>
      <c r="AQ11" s="379"/>
      <c r="AR11" s="379"/>
      <c r="AS11" s="384"/>
      <c r="AT11" s="384"/>
      <c r="AU11" s="384"/>
      <c r="AV11" s="384"/>
      <c r="AW11" s="384"/>
      <c r="AX11" s="384"/>
      <c r="AY11" s="384"/>
      <c r="AZ11" s="384"/>
      <c r="BA11" s="388"/>
      <c r="BB11" s="384"/>
      <c r="BC11" s="384"/>
      <c r="BD11" s="384"/>
      <c r="BE11" s="384"/>
      <c r="BF11" s="384"/>
      <c r="BG11" s="388"/>
      <c r="BH11" s="379"/>
      <c r="BI11" s="379"/>
      <c r="BJ11" s="379"/>
      <c r="BK11" s="389"/>
      <c r="BL11" s="331"/>
      <c r="BM11" s="331"/>
      <c r="BN11" s="401"/>
      <c r="BO11" s="402"/>
      <c r="BP11" s="402"/>
      <c r="BQ11" s="392"/>
      <c r="BR11" s="393"/>
      <c r="BS11" s="401"/>
      <c r="BT11" s="401"/>
      <c r="BU11" s="401"/>
      <c r="BV11" s="401"/>
      <c r="BW11" s="398"/>
      <c r="BX11" s="388"/>
      <c r="BY11" s="335"/>
    </row>
    <row r="12">
      <c r="A12" s="403"/>
      <c r="B12" s="365"/>
      <c r="C12" s="404"/>
      <c r="D12" s="381"/>
      <c r="E12" s="100">
        <v>23.0</v>
      </c>
      <c r="F12" s="367">
        <f t="shared" si="11"/>
        <v>0</v>
      </c>
      <c r="G12" s="367">
        <f t="shared" si="12"/>
        <v>0</v>
      </c>
      <c r="H12" s="368">
        <f t="shared" si="13"/>
        <v>0</v>
      </c>
      <c r="I12" s="369"/>
      <c r="J12" s="365"/>
      <c r="K12" s="365"/>
      <c r="L12" s="365"/>
      <c r="M12" s="365"/>
      <c r="N12" s="365"/>
      <c r="O12" s="370"/>
      <c r="P12" s="370"/>
      <c r="Q12" s="370"/>
      <c r="R12" s="370"/>
      <c r="S12" s="370"/>
      <c r="T12" s="369"/>
      <c r="U12" s="365"/>
      <c r="V12" s="365"/>
      <c r="W12" s="370"/>
      <c r="X12" s="370"/>
      <c r="Y12" s="370"/>
      <c r="Z12" s="370"/>
      <c r="AA12" s="370"/>
      <c r="AB12" s="365"/>
      <c r="AC12" s="365"/>
      <c r="AD12" s="365"/>
      <c r="AE12" s="369"/>
      <c r="AF12" s="371"/>
      <c r="AG12" s="365"/>
      <c r="AH12" s="365"/>
      <c r="AI12" s="370"/>
      <c r="AJ12" s="370"/>
      <c r="AK12" s="370"/>
      <c r="AL12" s="370"/>
      <c r="AM12" s="370"/>
      <c r="AN12" s="371"/>
      <c r="AO12" s="371"/>
      <c r="AP12" s="369"/>
      <c r="AQ12" s="365"/>
      <c r="AR12" s="365"/>
      <c r="AS12" s="370"/>
      <c r="AT12" s="370"/>
      <c r="AU12" s="370"/>
      <c r="AV12" s="370"/>
      <c r="AW12" s="370"/>
      <c r="AX12" s="370"/>
      <c r="AY12" s="370"/>
      <c r="AZ12" s="370"/>
      <c r="BA12" s="372"/>
      <c r="BB12" s="370"/>
      <c r="BC12" s="370"/>
      <c r="BD12" s="370"/>
      <c r="BE12" s="370"/>
      <c r="BF12" s="370"/>
      <c r="BG12" s="372"/>
      <c r="BH12" s="365"/>
      <c r="BI12" s="365"/>
      <c r="BJ12" s="365"/>
      <c r="BK12" s="31"/>
      <c r="BL12" s="31"/>
      <c r="BM12" s="31"/>
      <c r="BN12" s="373"/>
      <c r="BO12" s="374"/>
      <c r="BP12" s="375"/>
      <c r="BQ12" s="207"/>
      <c r="BR12" s="207"/>
      <c r="BS12" s="207"/>
      <c r="BT12" s="207"/>
      <c r="BU12" s="207"/>
      <c r="BV12" s="207"/>
      <c r="BW12" s="407"/>
      <c r="BX12" s="372"/>
      <c r="BY12" s="377"/>
    </row>
    <row r="13">
      <c r="A13" s="403"/>
      <c r="B13" s="365"/>
      <c r="C13" s="404"/>
      <c r="D13" s="381"/>
      <c r="E13" s="100">
        <v>23.0</v>
      </c>
      <c r="F13" s="367">
        <f t="shared" si="11"/>
        <v>0</v>
      </c>
      <c r="G13" s="367">
        <f t="shared" si="12"/>
        <v>0</v>
      </c>
      <c r="H13" s="408">
        <f t="shared" si="13"/>
        <v>0</v>
      </c>
      <c r="I13" s="369"/>
      <c r="J13" s="365"/>
      <c r="K13" s="365"/>
      <c r="L13" s="365"/>
      <c r="M13" s="365"/>
      <c r="N13" s="365"/>
      <c r="O13" s="370"/>
      <c r="P13" s="370"/>
      <c r="Q13" s="370"/>
      <c r="R13" s="370"/>
      <c r="S13" s="370"/>
      <c r="T13" s="369"/>
      <c r="U13" s="365"/>
      <c r="V13" s="365"/>
      <c r="W13" s="370"/>
      <c r="X13" s="370"/>
      <c r="Y13" s="370"/>
      <c r="Z13" s="370"/>
      <c r="AA13" s="370"/>
      <c r="AB13" s="365"/>
      <c r="AC13" s="365"/>
      <c r="AD13" s="365"/>
      <c r="AE13" s="369"/>
      <c r="AF13" s="371"/>
      <c r="AG13" s="365"/>
      <c r="AH13" s="365"/>
      <c r="AI13" s="370"/>
      <c r="AJ13" s="370"/>
      <c r="AK13" s="370"/>
      <c r="AL13" s="370"/>
      <c r="AM13" s="370"/>
      <c r="AN13" s="371"/>
      <c r="AO13" s="371"/>
      <c r="AP13" s="369"/>
      <c r="AQ13" s="365"/>
      <c r="AR13" s="365"/>
      <c r="AS13" s="370"/>
      <c r="AT13" s="370"/>
      <c r="AU13" s="370"/>
      <c r="AV13" s="370"/>
      <c r="AW13" s="370"/>
      <c r="AX13" s="370"/>
      <c r="AY13" s="370"/>
      <c r="AZ13" s="370"/>
      <c r="BA13" s="372"/>
      <c r="BB13" s="370"/>
      <c r="BC13" s="370"/>
      <c r="BD13" s="370"/>
      <c r="BE13" s="370"/>
      <c r="BF13" s="370"/>
      <c r="BG13" s="372"/>
      <c r="BH13" s="365"/>
      <c r="BI13" s="365"/>
      <c r="BJ13" s="365"/>
      <c r="BK13" s="31"/>
      <c r="BL13" s="31"/>
      <c r="BM13" s="31"/>
      <c r="BN13" s="373"/>
      <c r="BO13" s="374"/>
      <c r="BP13" s="375"/>
      <c r="BQ13" s="207"/>
      <c r="BR13" s="207"/>
      <c r="BS13" s="207"/>
      <c r="BT13" s="207"/>
      <c r="BU13" s="207"/>
      <c r="BV13" s="207"/>
      <c r="BW13" s="376"/>
      <c r="BX13" s="372"/>
      <c r="BY13" s="377"/>
    </row>
    <row r="14">
      <c r="A14" s="403"/>
      <c r="B14" s="410"/>
      <c r="C14" s="404"/>
      <c r="D14" s="381"/>
      <c r="E14" s="100">
        <v>23.0</v>
      </c>
      <c r="F14" s="367">
        <f t="shared" si="11"/>
        <v>0</v>
      </c>
      <c r="G14" s="367">
        <f t="shared" si="12"/>
        <v>0</v>
      </c>
      <c r="H14" s="408">
        <f t="shared" si="13"/>
        <v>0</v>
      </c>
      <c r="I14" s="369"/>
      <c r="J14" s="410"/>
      <c r="K14" s="410"/>
      <c r="L14" s="410"/>
      <c r="M14" s="410"/>
      <c r="N14" s="410"/>
      <c r="O14" s="370"/>
      <c r="P14" s="370"/>
      <c r="Q14" s="370"/>
      <c r="R14" s="370"/>
      <c r="S14" s="370"/>
      <c r="T14" s="369"/>
      <c r="U14" s="410"/>
      <c r="V14" s="410"/>
      <c r="W14" s="370"/>
      <c r="X14" s="370"/>
      <c r="Y14" s="370"/>
      <c r="Z14" s="370"/>
      <c r="AA14" s="370"/>
      <c r="AB14" s="410"/>
      <c r="AC14" s="410"/>
      <c r="AD14" s="410"/>
      <c r="AE14" s="369"/>
      <c r="AF14" s="386"/>
      <c r="AG14" s="410"/>
      <c r="AH14" s="410"/>
      <c r="AI14" s="370"/>
      <c r="AJ14" s="370"/>
      <c r="AK14" s="370"/>
      <c r="AL14" s="370"/>
      <c r="AM14" s="370"/>
      <c r="AN14" s="386"/>
      <c r="AO14" s="386"/>
      <c r="AP14" s="369"/>
      <c r="AQ14" s="410"/>
      <c r="AR14" s="410"/>
      <c r="AS14" s="370"/>
      <c r="AT14" s="370"/>
      <c r="AU14" s="370"/>
      <c r="AV14" s="370"/>
      <c r="AW14" s="370"/>
      <c r="AX14" s="370"/>
      <c r="AY14" s="370"/>
      <c r="AZ14" s="370"/>
      <c r="BA14" s="388"/>
      <c r="BB14" s="370"/>
      <c r="BC14" s="370"/>
      <c r="BD14" s="370"/>
      <c r="BE14" s="370"/>
      <c r="BF14" s="370"/>
      <c r="BG14" s="388"/>
      <c r="BH14" s="410"/>
      <c r="BI14" s="410"/>
      <c r="BJ14" s="410"/>
      <c r="BK14" s="31"/>
      <c r="BL14" s="31"/>
      <c r="BM14" s="31"/>
      <c r="BN14" s="373"/>
      <c r="BO14" s="374"/>
      <c r="BP14" s="375"/>
      <c r="BQ14" s="113"/>
      <c r="BR14" s="113"/>
      <c r="BS14" s="113"/>
      <c r="BT14" s="113"/>
      <c r="BU14" s="113"/>
      <c r="BV14" s="113"/>
      <c r="BW14" s="411"/>
      <c r="BX14" s="388"/>
      <c r="BY14" s="377"/>
    </row>
    <row r="15">
      <c r="A15" s="378"/>
      <c r="B15" s="379"/>
      <c r="C15" s="412"/>
      <c r="D15" s="413"/>
      <c r="E15" s="100">
        <v>23.0</v>
      </c>
      <c r="F15" s="382">
        <f t="shared" si="11"/>
        <v>0</v>
      </c>
      <c r="G15" s="382">
        <f t="shared" si="12"/>
        <v>0</v>
      </c>
      <c r="H15" s="383">
        <f t="shared" si="13"/>
        <v>0</v>
      </c>
      <c r="I15" s="369"/>
      <c r="J15" s="379"/>
      <c r="K15" s="379"/>
      <c r="L15" s="379"/>
      <c r="M15" s="379"/>
      <c r="N15" s="379"/>
      <c r="O15" s="384"/>
      <c r="P15" s="384"/>
      <c r="Q15" s="384"/>
      <c r="R15" s="384"/>
      <c r="S15" s="384"/>
      <c r="T15" s="369"/>
      <c r="U15" s="379"/>
      <c r="V15" s="379"/>
      <c r="W15" s="384"/>
      <c r="X15" s="384"/>
      <c r="Y15" s="384"/>
      <c r="Z15" s="384"/>
      <c r="AA15" s="384"/>
      <c r="AB15" s="379"/>
      <c r="AC15" s="379"/>
      <c r="AD15" s="379"/>
      <c r="AE15" s="369"/>
      <c r="AF15" s="386"/>
      <c r="AG15" s="379"/>
      <c r="AH15" s="379"/>
      <c r="AI15" s="384"/>
      <c r="AJ15" s="384"/>
      <c r="AK15" s="384"/>
      <c r="AL15" s="384"/>
      <c r="AM15" s="384"/>
      <c r="AN15" s="386"/>
      <c r="AO15" s="386"/>
      <c r="AP15" s="369"/>
      <c r="AQ15" s="379"/>
      <c r="AR15" s="379"/>
      <c r="AS15" s="384"/>
      <c r="AT15" s="384"/>
      <c r="AU15" s="384"/>
      <c r="AV15" s="384"/>
      <c r="AW15" s="384"/>
      <c r="AX15" s="384"/>
      <c r="AY15" s="384"/>
      <c r="AZ15" s="384"/>
      <c r="BA15" s="388"/>
      <c r="BB15" s="384"/>
      <c r="BC15" s="384"/>
      <c r="BD15" s="384"/>
      <c r="BE15" s="384"/>
      <c r="BF15" s="384"/>
      <c r="BG15" s="388"/>
      <c r="BH15" s="379"/>
      <c r="BI15" s="379"/>
      <c r="BJ15" s="379"/>
      <c r="BK15" s="331"/>
      <c r="BL15" s="331"/>
      <c r="BM15" s="331"/>
      <c r="BN15" s="390"/>
      <c r="BO15" s="392"/>
      <c r="BP15" s="393"/>
      <c r="BQ15" s="402"/>
      <c r="BR15" s="402"/>
      <c r="BS15" s="402"/>
      <c r="BT15" s="402"/>
      <c r="BU15" s="402"/>
      <c r="BV15" s="402"/>
      <c r="BW15" s="416"/>
      <c r="BX15" s="388"/>
      <c r="BY15" s="335"/>
    </row>
    <row r="16">
      <c r="A16" s="378"/>
      <c r="B16" s="379"/>
      <c r="C16" s="412"/>
      <c r="D16" s="413"/>
      <c r="E16" s="100">
        <v>23.0</v>
      </c>
      <c r="F16" s="382">
        <f t="shared" si="11"/>
        <v>0</v>
      </c>
      <c r="G16" s="382">
        <f t="shared" si="12"/>
        <v>0</v>
      </c>
      <c r="H16" s="383">
        <f t="shared" si="13"/>
        <v>0</v>
      </c>
      <c r="I16" s="369"/>
      <c r="J16" s="379"/>
      <c r="K16" s="379"/>
      <c r="L16" s="379"/>
      <c r="M16" s="379"/>
      <c r="N16" s="379"/>
      <c r="O16" s="384"/>
      <c r="P16" s="384"/>
      <c r="Q16" s="384"/>
      <c r="R16" s="384"/>
      <c r="S16" s="384"/>
      <c r="T16" s="369"/>
      <c r="U16" s="379"/>
      <c r="V16" s="379"/>
      <c r="W16" s="384"/>
      <c r="X16" s="384"/>
      <c r="Y16" s="384"/>
      <c r="Z16" s="384"/>
      <c r="AA16" s="384"/>
      <c r="AB16" s="379"/>
      <c r="AC16" s="379"/>
      <c r="AD16" s="379"/>
      <c r="AE16" s="369"/>
      <c r="AF16" s="386"/>
      <c r="AG16" s="379"/>
      <c r="AH16" s="379"/>
      <c r="AI16" s="384"/>
      <c r="AJ16" s="384"/>
      <c r="AK16" s="384"/>
      <c r="AL16" s="384"/>
      <c r="AM16" s="384"/>
      <c r="AN16" s="386"/>
      <c r="AO16" s="386"/>
      <c r="AP16" s="369"/>
      <c r="AQ16" s="379"/>
      <c r="AR16" s="379"/>
      <c r="AS16" s="384"/>
      <c r="AT16" s="384"/>
      <c r="AU16" s="384"/>
      <c r="AV16" s="384"/>
      <c r="AW16" s="384"/>
      <c r="AX16" s="384"/>
      <c r="AY16" s="384"/>
      <c r="AZ16" s="384"/>
      <c r="BA16" s="388"/>
      <c r="BB16" s="384"/>
      <c r="BC16" s="384"/>
      <c r="BD16" s="384"/>
      <c r="BE16" s="384"/>
      <c r="BF16" s="384"/>
      <c r="BG16" s="388"/>
      <c r="BH16" s="379"/>
      <c r="BI16" s="379"/>
      <c r="BJ16" s="379"/>
      <c r="BK16" s="389"/>
      <c r="BL16" s="331"/>
      <c r="BM16" s="331"/>
      <c r="BN16" s="390"/>
      <c r="BO16" s="392"/>
      <c r="BP16" s="393"/>
      <c r="BQ16" s="391"/>
      <c r="BR16" s="391"/>
      <c r="BS16" s="391"/>
      <c r="BT16" s="391"/>
      <c r="BU16" s="391"/>
      <c r="BV16" s="391"/>
      <c r="BW16" s="395"/>
      <c r="BX16" s="388"/>
      <c r="BY16" s="335"/>
    </row>
    <row r="17">
      <c r="A17" s="420"/>
      <c r="B17" s="421"/>
      <c r="C17" s="422"/>
      <c r="D17" s="423"/>
      <c r="E17" s="424">
        <v>23.0</v>
      </c>
      <c r="F17" s="425">
        <f t="shared" si="11"/>
        <v>0</v>
      </c>
      <c r="G17" s="425">
        <f t="shared" si="12"/>
        <v>0</v>
      </c>
      <c r="H17" s="427">
        <f t="shared" si="13"/>
        <v>0</v>
      </c>
      <c r="I17" s="369"/>
      <c r="J17" s="379"/>
      <c r="K17" s="379"/>
      <c r="L17" s="379"/>
      <c r="M17" s="379"/>
      <c r="N17" s="379"/>
      <c r="O17" s="384"/>
      <c r="P17" s="384"/>
      <c r="Q17" s="384"/>
      <c r="R17" s="384"/>
      <c r="S17" s="384"/>
      <c r="T17" s="369"/>
      <c r="U17" s="379"/>
      <c r="V17" s="379"/>
      <c r="W17" s="384"/>
      <c r="X17" s="384"/>
      <c r="Y17" s="384"/>
      <c r="Z17" s="384"/>
      <c r="AA17" s="384"/>
      <c r="AB17" s="379"/>
      <c r="AC17" s="379"/>
      <c r="AD17" s="379"/>
      <c r="AE17" s="369"/>
      <c r="AF17" s="386"/>
      <c r="AG17" s="379"/>
      <c r="AH17" s="379"/>
      <c r="AI17" s="384"/>
      <c r="AJ17" s="384"/>
      <c r="AK17" s="384"/>
      <c r="AL17" s="384"/>
      <c r="AM17" s="384"/>
      <c r="AN17" s="386"/>
      <c r="AO17" s="386"/>
      <c r="AP17" s="369"/>
      <c r="AQ17" s="379"/>
      <c r="AR17" s="379"/>
      <c r="AS17" s="384"/>
      <c r="AT17" s="384"/>
      <c r="AU17" s="384"/>
      <c r="AV17" s="384"/>
      <c r="AW17" s="384"/>
      <c r="AX17" s="384"/>
      <c r="AY17" s="384"/>
      <c r="AZ17" s="384"/>
      <c r="BA17" s="388"/>
      <c r="BB17" s="384"/>
      <c r="BC17" s="384"/>
      <c r="BD17" s="384"/>
      <c r="BE17" s="384"/>
      <c r="BF17" s="384"/>
      <c r="BG17" s="388"/>
      <c r="BH17" s="379"/>
      <c r="BI17" s="379"/>
      <c r="BJ17" s="379"/>
      <c r="BK17" s="389"/>
      <c r="BL17" s="331"/>
      <c r="BM17" s="331"/>
      <c r="BN17" s="390"/>
      <c r="BO17" s="392"/>
      <c r="BP17" s="393"/>
      <c r="BQ17" s="402"/>
      <c r="BR17" s="402"/>
      <c r="BS17" s="402"/>
      <c r="BT17" s="402"/>
      <c r="BU17" s="402"/>
      <c r="BV17" s="402"/>
      <c r="BW17" s="398"/>
      <c r="BX17" s="388"/>
      <c r="BY17" s="430"/>
    </row>
    <row r="18">
      <c r="A18" s="347"/>
      <c r="B18" s="431"/>
      <c r="C18" s="432"/>
      <c r="D18" s="433"/>
      <c r="E18" s="434">
        <v>24.0</v>
      </c>
      <c r="F18" s="352">
        <f t="shared" si="11"/>
        <v>0</v>
      </c>
      <c r="G18" s="352">
        <f t="shared" si="12"/>
        <v>0</v>
      </c>
      <c r="H18" s="435">
        <f t="shared" si="13"/>
        <v>0</v>
      </c>
      <c r="I18" s="354"/>
      <c r="J18" s="431"/>
      <c r="K18" s="431"/>
      <c r="L18" s="431"/>
      <c r="M18" s="431"/>
      <c r="N18" s="431"/>
      <c r="O18" s="355"/>
      <c r="P18" s="355"/>
      <c r="Q18" s="355"/>
      <c r="R18" s="355"/>
      <c r="S18" s="355"/>
      <c r="T18" s="354"/>
      <c r="U18" s="431"/>
      <c r="V18" s="431"/>
      <c r="W18" s="355"/>
      <c r="X18" s="355"/>
      <c r="Y18" s="355"/>
      <c r="Z18" s="355"/>
      <c r="AA18" s="355"/>
      <c r="AB18" s="431"/>
      <c r="AC18" s="431"/>
      <c r="AD18" s="431"/>
      <c r="AE18" s="354"/>
      <c r="AF18" s="436"/>
      <c r="AG18" s="431"/>
      <c r="AH18" s="431"/>
      <c r="AI18" s="355"/>
      <c r="AJ18" s="355"/>
      <c r="AK18" s="355"/>
      <c r="AL18" s="355"/>
      <c r="AM18" s="355"/>
      <c r="AN18" s="436"/>
      <c r="AO18" s="436"/>
      <c r="AP18" s="354"/>
      <c r="AQ18" s="431"/>
      <c r="AR18" s="431"/>
      <c r="AS18" s="355"/>
      <c r="AT18" s="355"/>
      <c r="AU18" s="355"/>
      <c r="AV18" s="355"/>
      <c r="AW18" s="355"/>
      <c r="AX18" s="355"/>
      <c r="AY18" s="355"/>
      <c r="AZ18" s="355"/>
      <c r="BA18" s="438"/>
      <c r="BB18" s="355"/>
      <c r="BC18" s="355"/>
      <c r="BD18" s="355"/>
      <c r="BE18" s="355"/>
      <c r="BF18" s="355"/>
      <c r="BG18" s="438"/>
      <c r="BH18" s="431"/>
      <c r="BI18" s="431"/>
      <c r="BJ18" s="431"/>
      <c r="BK18" s="8"/>
      <c r="BL18" s="150"/>
      <c r="BM18" s="150"/>
      <c r="BN18" s="202"/>
      <c r="BO18" s="360"/>
      <c r="BP18" s="361"/>
      <c r="BQ18" s="203"/>
      <c r="BR18" s="203"/>
      <c r="BS18" s="203"/>
      <c r="BT18" s="203"/>
      <c r="BU18" s="203"/>
      <c r="BV18" s="203"/>
      <c r="BW18" s="201"/>
      <c r="BX18" s="438"/>
      <c r="BY18" s="363"/>
    </row>
    <row r="19">
      <c r="A19" s="364"/>
      <c r="B19" s="365"/>
      <c r="C19" s="404"/>
      <c r="D19" s="439"/>
      <c r="E19" s="163">
        <v>24.0</v>
      </c>
      <c r="F19" s="367">
        <f t="shared" si="11"/>
        <v>0</v>
      </c>
      <c r="G19" s="367">
        <f t="shared" si="12"/>
        <v>0</v>
      </c>
      <c r="H19" s="368">
        <f t="shared" si="13"/>
        <v>0</v>
      </c>
      <c r="I19" s="369"/>
      <c r="J19" s="365"/>
      <c r="K19" s="365"/>
      <c r="L19" s="365"/>
      <c r="M19" s="365"/>
      <c r="N19" s="365"/>
      <c r="O19" s="370"/>
      <c r="P19" s="370"/>
      <c r="Q19" s="370"/>
      <c r="R19" s="370"/>
      <c r="S19" s="370"/>
      <c r="T19" s="369"/>
      <c r="U19" s="365"/>
      <c r="V19" s="365"/>
      <c r="W19" s="370"/>
      <c r="X19" s="370"/>
      <c r="Y19" s="370"/>
      <c r="Z19" s="370"/>
      <c r="AA19" s="370"/>
      <c r="AB19" s="365"/>
      <c r="AC19" s="365"/>
      <c r="AD19" s="365"/>
      <c r="AE19" s="369"/>
      <c r="AF19" s="371"/>
      <c r="AG19" s="365"/>
      <c r="AH19" s="365"/>
      <c r="AI19" s="370"/>
      <c r="AJ19" s="370"/>
      <c r="AK19" s="370"/>
      <c r="AL19" s="370"/>
      <c r="AM19" s="370"/>
      <c r="AN19" s="371"/>
      <c r="AO19" s="371"/>
      <c r="AP19" s="369"/>
      <c r="AQ19" s="365"/>
      <c r="AR19" s="365"/>
      <c r="AS19" s="370"/>
      <c r="AT19" s="370"/>
      <c r="AU19" s="370"/>
      <c r="AV19" s="370"/>
      <c r="AW19" s="370"/>
      <c r="AX19" s="370"/>
      <c r="AY19" s="370"/>
      <c r="AZ19" s="370"/>
      <c r="BA19" s="372"/>
      <c r="BB19" s="370"/>
      <c r="BC19" s="370"/>
      <c r="BD19" s="370"/>
      <c r="BE19" s="370"/>
      <c r="BF19" s="370"/>
      <c r="BG19" s="372"/>
      <c r="BH19" s="365"/>
      <c r="BI19" s="365"/>
      <c r="BJ19" s="365"/>
      <c r="BK19" s="31"/>
      <c r="BL19" s="31"/>
      <c r="BM19" s="31"/>
      <c r="BN19" s="373"/>
      <c r="BO19" s="374"/>
      <c r="BP19" s="375"/>
      <c r="BQ19" s="207"/>
      <c r="BR19" s="207"/>
      <c r="BS19" s="207"/>
      <c r="BT19" s="207"/>
      <c r="BU19" s="207"/>
      <c r="BV19" s="207"/>
      <c r="BW19" s="103"/>
      <c r="BX19" s="372"/>
      <c r="BY19" s="377"/>
    </row>
    <row r="20">
      <c r="A20" s="364"/>
      <c r="B20" s="410"/>
      <c r="C20" s="404"/>
      <c r="D20" s="439"/>
      <c r="E20" s="163">
        <v>24.0</v>
      </c>
      <c r="F20" s="367">
        <f t="shared" si="11"/>
        <v>0</v>
      </c>
      <c r="G20" s="367">
        <f t="shared" si="12"/>
        <v>0</v>
      </c>
      <c r="H20" s="368">
        <f t="shared" si="13"/>
        <v>0</v>
      </c>
      <c r="I20" s="369"/>
      <c r="J20" s="410"/>
      <c r="K20" s="410"/>
      <c r="L20" s="410"/>
      <c r="M20" s="410"/>
      <c r="N20" s="410"/>
      <c r="O20" s="370"/>
      <c r="P20" s="370"/>
      <c r="Q20" s="370"/>
      <c r="R20" s="370"/>
      <c r="S20" s="370"/>
      <c r="T20" s="369"/>
      <c r="U20" s="410"/>
      <c r="V20" s="410"/>
      <c r="W20" s="370"/>
      <c r="X20" s="370"/>
      <c r="Y20" s="370"/>
      <c r="Z20" s="370"/>
      <c r="AA20" s="370"/>
      <c r="AB20" s="410"/>
      <c r="AC20" s="410"/>
      <c r="AD20" s="410"/>
      <c r="AE20" s="369"/>
      <c r="AF20" s="386"/>
      <c r="AG20" s="410"/>
      <c r="AH20" s="410"/>
      <c r="AI20" s="370"/>
      <c r="AJ20" s="370"/>
      <c r="AK20" s="370"/>
      <c r="AL20" s="370"/>
      <c r="AM20" s="370"/>
      <c r="AN20" s="386"/>
      <c r="AO20" s="386"/>
      <c r="AP20" s="369"/>
      <c r="AQ20" s="410"/>
      <c r="AR20" s="410"/>
      <c r="AS20" s="370"/>
      <c r="AT20" s="370"/>
      <c r="AU20" s="370"/>
      <c r="AV20" s="370"/>
      <c r="AW20" s="370"/>
      <c r="AX20" s="370"/>
      <c r="AY20" s="370"/>
      <c r="AZ20" s="370"/>
      <c r="BA20" s="388"/>
      <c r="BB20" s="370"/>
      <c r="BC20" s="370"/>
      <c r="BD20" s="370"/>
      <c r="BE20" s="370"/>
      <c r="BF20" s="370"/>
      <c r="BG20" s="388"/>
      <c r="BH20" s="410"/>
      <c r="BI20" s="410"/>
      <c r="BJ20" s="410"/>
      <c r="BK20" s="31"/>
      <c r="BL20" s="31"/>
      <c r="BM20" s="31"/>
      <c r="BN20" s="373"/>
      <c r="BO20" s="374"/>
      <c r="BP20" s="375"/>
      <c r="BQ20" s="113"/>
      <c r="BR20" s="113"/>
      <c r="BS20" s="113"/>
      <c r="BT20" s="113"/>
      <c r="BU20" s="113"/>
      <c r="BV20" s="113"/>
      <c r="BW20" s="376"/>
      <c r="BX20" s="388"/>
      <c r="BY20" s="443"/>
    </row>
    <row r="21">
      <c r="A21" s="444"/>
      <c r="B21" s="379"/>
      <c r="C21" s="446"/>
      <c r="D21" s="448"/>
      <c r="E21" s="163">
        <v>24.0</v>
      </c>
      <c r="F21" s="382">
        <f t="shared" si="11"/>
        <v>0</v>
      </c>
      <c r="G21" s="382">
        <f t="shared" si="12"/>
        <v>0</v>
      </c>
      <c r="H21" s="383">
        <f t="shared" si="13"/>
        <v>0</v>
      </c>
      <c r="I21" s="369"/>
      <c r="J21" s="379"/>
      <c r="K21" s="379"/>
      <c r="L21" s="379"/>
      <c r="M21" s="379"/>
      <c r="N21" s="379"/>
      <c r="O21" s="384"/>
      <c r="P21" s="384"/>
      <c r="Q21" s="384"/>
      <c r="R21" s="384"/>
      <c r="S21" s="384"/>
      <c r="T21" s="369"/>
      <c r="U21" s="379"/>
      <c r="V21" s="379"/>
      <c r="W21" s="384"/>
      <c r="X21" s="384"/>
      <c r="Y21" s="384"/>
      <c r="Z21" s="384"/>
      <c r="AA21" s="384"/>
      <c r="AB21" s="379"/>
      <c r="AC21" s="379"/>
      <c r="AD21" s="379"/>
      <c r="AE21" s="369"/>
      <c r="AF21" s="386"/>
      <c r="AG21" s="379"/>
      <c r="AH21" s="379"/>
      <c r="AI21" s="384"/>
      <c r="AJ21" s="384"/>
      <c r="AK21" s="384"/>
      <c r="AL21" s="384"/>
      <c r="AM21" s="384"/>
      <c r="AN21" s="386"/>
      <c r="AO21" s="386"/>
      <c r="AP21" s="369"/>
      <c r="AQ21" s="379"/>
      <c r="AR21" s="379"/>
      <c r="AS21" s="384"/>
      <c r="AT21" s="384"/>
      <c r="AU21" s="384"/>
      <c r="AV21" s="384"/>
      <c r="AW21" s="384"/>
      <c r="AX21" s="384"/>
      <c r="AY21" s="384"/>
      <c r="AZ21" s="384"/>
      <c r="BA21" s="388"/>
      <c r="BB21" s="384"/>
      <c r="BC21" s="384"/>
      <c r="BD21" s="384"/>
      <c r="BE21" s="384"/>
      <c r="BF21" s="384"/>
      <c r="BG21" s="388"/>
      <c r="BH21" s="379"/>
      <c r="BI21" s="379"/>
      <c r="BJ21" s="379"/>
      <c r="BK21" s="331"/>
      <c r="BL21" s="331"/>
      <c r="BM21" s="331"/>
      <c r="BN21" s="390"/>
      <c r="BO21" s="392"/>
      <c r="BP21" s="393"/>
      <c r="BQ21" s="402"/>
      <c r="BR21" s="402"/>
      <c r="BS21" s="402"/>
      <c r="BT21" s="402"/>
      <c r="BU21" s="402"/>
      <c r="BV21" s="402"/>
      <c r="BW21" s="416"/>
      <c r="BX21" s="388"/>
      <c r="BY21" s="430"/>
    </row>
    <row r="22">
      <c r="A22" s="444"/>
      <c r="B22" s="379"/>
      <c r="C22" s="446"/>
      <c r="D22" s="448"/>
      <c r="E22" s="163">
        <v>24.0</v>
      </c>
      <c r="F22" s="382">
        <f t="shared" si="11"/>
        <v>0</v>
      </c>
      <c r="G22" s="382">
        <f t="shared" si="12"/>
        <v>0</v>
      </c>
      <c r="H22" s="383">
        <f t="shared" si="13"/>
        <v>0</v>
      </c>
      <c r="I22" s="369"/>
      <c r="J22" s="379"/>
      <c r="K22" s="379"/>
      <c r="L22" s="379"/>
      <c r="M22" s="379"/>
      <c r="N22" s="379"/>
      <c r="O22" s="384"/>
      <c r="P22" s="384"/>
      <c r="Q22" s="384"/>
      <c r="R22" s="384"/>
      <c r="S22" s="384"/>
      <c r="T22" s="369"/>
      <c r="U22" s="379"/>
      <c r="V22" s="379"/>
      <c r="W22" s="384"/>
      <c r="X22" s="384"/>
      <c r="Y22" s="384"/>
      <c r="Z22" s="384"/>
      <c r="AA22" s="384"/>
      <c r="AB22" s="379"/>
      <c r="AC22" s="379"/>
      <c r="AD22" s="379"/>
      <c r="AE22" s="369"/>
      <c r="AF22" s="386"/>
      <c r="AG22" s="379"/>
      <c r="AH22" s="379"/>
      <c r="AI22" s="384"/>
      <c r="AJ22" s="384"/>
      <c r="AK22" s="384"/>
      <c r="AL22" s="384"/>
      <c r="AM22" s="384"/>
      <c r="AN22" s="386"/>
      <c r="AO22" s="386"/>
      <c r="AP22" s="369"/>
      <c r="AQ22" s="379"/>
      <c r="AR22" s="379"/>
      <c r="AS22" s="384"/>
      <c r="AT22" s="384"/>
      <c r="AU22" s="384"/>
      <c r="AV22" s="384"/>
      <c r="AW22" s="384"/>
      <c r="AX22" s="384"/>
      <c r="AY22" s="384"/>
      <c r="AZ22" s="384"/>
      <c r="BA22" s="388"/>
      <c r="BB22" s="384"/>
      <c r="BC22" s="384"/>
      <c r="BD22" s="384"/>
      <c r="BE22" s="384"/>
      <c r="BF22" s="384"/>
      <c r="BG22" s="388"/>
      <c r="BH22" s="379"/>
      <c r="BI22" s="379"/>
      <c r="BJ22" s="379"/>
      <c r="BK22" s="389"/>
      <c r="BL22" s="331"/>
      <c r="BM22" s="331"/>
      <c r="BN22" s="390"/>
      <c r="BO22" s="392"/>
      <c r="BP22" s="393"/>
      <c r="BQ22" s="391"/>
      <c r="BR22" s="391"/>
      <c r="BS22" s="391"/>
      <c r="BT22" s="391"/>
      <c r="BU22" s="391"/>
      <c r="BV22" s="391"/>
      <c r="BW22" s="395"/>
      <c r="BX22" s="388"/>
      <c r="BY22" s="430"/>
    </row>
    <row r="23">
      <c r="A23" s="444"/>
      <c r="B23" s="379"/>
      <c r="C23" s="446"/>
      <c r="D23" s="448"/>
      <c r="E23" s="163">
        <v>24.0</v>
      </c>
      <c r="F23" s="382">
        <f t="shared" si="11"/>
        <v>0</v>
      </c>
      <c r="G23" s="382">
        <f t="shared" si="12"/>
        <v>0</v>
      </c>
      <c r="H23" s="383">
        <f t="shared" si="13"/>
        <v>0</v>
      </c>
      <c r="I23" s="369"/>
      <c r="J23" s="379"/>
      <c r="K23" s="379"/>
      <c r="L23" s="379"/>
      <c r="M23" s="379"/>
      <c r="N23" s="379"/>
      <c r="O23" s="384"/>
      <c r="P23" s="384"/>
      <c r="Q23" s="384"/>
      <c r="R23" s="384"/>
      <c r="S23" s="384"/>
      <c r="T23" s="369"/>
      <c r="U23" s="379"/>
      <c r="V23" s="379"/>
      <c r="W23" s="384"/>
      <c r="X23" s="384"/>
      <c r="Y23" s="384"/>
      <c r="Z23" s="384"/>
      <c r="AA23" s="384"/>
      <c r="AB23" s="379"/>
      <c r="AC23" s="379"/>
      <c r="AD23" s="379"/>
      <c r="AE23" s="369"/>
      <c r="AF23" s="386"/>
      <c r="AG23" s="379"/>
      <c r="AH23" s="379"/>
      <c r="AI23" s="384"/>
      <c r="AJ23" s="384"/>
      <c r="AK23" s="384"/>
      <c r="AL23" s="384"/>
      <c r="AM23" s="384"/>
      <c r="AN23" s="386"/>
      <c r="AO23" s="386"/>
      <c r="AP23" s="369"/>
      <c r="AQ23" s="379"/>
      <c r="AR23" s="379"/>
      <c r="AS23" s="384"/>
      <c r="AT23" s="384"/>
      <c r="AU23" s="384"/>
      <c r="AV23" s="384"/>
      <c r="AW23" s="384"/>
      <c r="AX23" s="384"/>
      <c r="AY23" s="384"/>
      <c r="AZ23" s="384"/>
      <c r="BA23" s="388"/>
      <c r="BB23" s="384"/>
      <c r="BC23" s="384"/>
      <c r="BD23" s="384"/>
      <c r="BE23" s="384"/>
      <c r="BF23" s="384"/>
      <c r="BG23" s="388"/>
      <c r="BH23" s="379"/>
      <c r="BI23" s="379"/>
      <c r="BJ23" s="379"/>
      <c r="BK23" s="389"/>
      <c r="BL23" s="331"/>
      <c r="BM23" s="331"/>
      <c r="BN23" s="390"/>
      <c r="BO23" s="392"/>
      <c r="BP23" s="393"/>
      <c r="BQ23" s="402"/>
      <c r="BR23" s="402"/>
      <c r="BS23" s="402"/>
      <c r="BT23" s="402"/>
      <c r="BU23" s="402"/>
      <c r="BV23" s="402"/>
      <c r="BW23" s="398"/>
      <c r="BX23" s="388"/>
      <c r="BY23" s="430"/>
    </row>
    <row r="24">
      <c r="A24" s="364"/>
      <c r="B24" s="410"/>
      <c r="C24" s="404"/>
      <c r="D24" s="449"/>
      <c r="E24" s="163">
        <v>24.0</v>
      </c>
      <c r="F24" s="367">
        <f t="shared" si="11"/>
        <v>0</v>
      </c>
      <c r="G24" s="367">
        <f t="shared" si="12"/>
        <v>0</v>
      </c>
      <c r="H24" s="368">
        <f t="shared" si="13"/>
        <v>0</v>
      </c>
      <c r="I24" s="369"/>
      <c r="J24" s="410"/>
      <c r="K24" s="410"/>
      <c r="L24" s="410"/>
      <c r="M24" s="410"/>
      <c r="N24" s="410"/>
      <c r="O24" s="370"/>
      <c r="P24" s="370"/>
      <c r="Q24" s="370"/>
      <c r="R24" s="370"/>
      <c r="S24" s="370"/>
      <c r="T24" s="369"/>
      <c r="U24" s="410"/>
      <c r="V24" s="410"/>
      <c r="W24" s="370"/>
      <c r="X24" s="370"/>
      <c r="Y24" s="370"/>
      <c r="Z24" s="370"/>
      <c r="AA24" s="370"/>
      <c r="AB24" s="410"/>
      <c r="AC24" s="410"/>
      <c r="AD24" s="410"/>
      <c r="AE24" s="369"/>
      <c r="AF24" s="386"/>
      <c r="AG24" s="410"/>
      <c r="AH24" s="410"/>
      <c r="AI24" s="370"/>
      <c r="AJ24" s="370"/>
      <c r="AK24" s="370"/>
      <c r="AL24" s="370"/>
      <c r="AM24" s="370"/>
      <c r="AN24" s="386"/>
      <c r="AO24" s="386"/>
      <c r="AP24" s="369"/>
      <c r="AQ24" s="410"/>
      <c r="AR24" s="410"/>
      <c r="AS24" s="370"/>
      <c r="AT24" s="370"/>
      <c r="AU24" s="370"/>
      <c r="AV24" s="370"/>
      <c r="AW24" s="370"/>
      <c r="AX24" s="370"/>
      <c r="AY24" s="370"/>
      <c r="AZ24" s="370"/>
      <c r="BA24" s="388"/>
      <c r="BB24" s="370"/>
      <c r="BC24" s="370"/>
      <c r="BD24" s="370"/>
      <c r="BE24" s="370"/>
      <c r="BF24" s="370"/>
      <c r="BG24" s="388"/>
      <c r="BH24" s="410"/>
      <c r="BI24" s="410"/>
      <c r="BJ24" s="410"/>
      <c r="BL24" s="31"/>
      <c r="BM24" s="31"/>
      <c r="BN24" s="262"/>
      <c r="BO24" s="374"/>
      <c r="BP24" s="375"/>
      <c r="BQ24" s="113"/>
      <c r="BR24" s="113"/>
      <c r="BS24" s="113"/>
      <c r="BT24" s="113"/>
      <c r="BU24" s="113"/>
      <c r="BV24" s="113"/>
      <c r="BW24" s="411"/>
      <c r="BX24" s="388"/>
      <c r="BY24" s="443"/>
    </row>
    <row r="25">
      <c r="A25" s="364"/>
      <c r="B25" s="410"/>
      <c r="C25" s="404"/>
      <c r="D25" s="449"/>
      <c r="E25" s="163">
        <v>24.0</v>
      </c>
      <c r="F25" s="367">
        <f t="shared" si="11"/>
        <v>0</v>
      </c>
      <c r="G25" s="367">
        <f t="shared" si="12"/>
        <v>0</v>
      </c>
      <c r="H25" s="368">
        <f t="shared" si="13"/>
        <v>0</v>
      </c>
      <c r="I25" s="369"/>
      <c r="J25" s="410"/>
      <c r="K25" s="410"/>
      <c r="L25" s="410"/>
      <c r="M25" s="410"/>
      <c r="N25" s="410"/>
      <c r="O25" s="370"/>
      <c r="P25" s="370"/>
      <c r="Q25" s="370"/>
      <c r="R25" s="370"/>
      <c r="S25" s="370"/>
      <c r="T25" s="369"/>
      <c r="U25" s="410"/>
      <c r="V25" s="410"/>
      <c r="W25" s="370"/>
      <c r="X25" s="370"/>
      <c r="Y25" s="370"/>
      <c r="Z25" s="370"/>
      <c r="AA25" s="370"/>
      <c r="AB25" s="410"/>
      <c r="AC25" s="410"/>
      <c r="AD25" s="410"/>
      <c r="AE25" s="369"/>
      <c r="AF25" s="386"/>
      <c r="AG25" s="410"/>
      <c r="AH25" s="410"/>
      <c r="AI25" s="370"/>
      <c r="AJ25" s="370"/>
      <c r="AK25" s="370"/>
      <c r="AL25" s="370"/>
      <c r="AM25" s="370"/>
      <c r="AN25" s="386"/>
      <c r="AO25" s="386"/>
      <c r="AP25" s="369"/>
      <c r="AQ25" s="410"/>
      <c r="AR25" s="410"/>
      <c r="AS25" s="370"/>
      <c r="AT25" s="370"/>
      <c r="AU25" s="370"/>
      <c r="AV25" s="370"/>
      <c r="AW25" s="370"/>
      <c r="AX25" s="370"/>
      <c r="AY25" s="370"/>
      <c r="AZ25" s="370"/>
      <c r="BA25" s="388"/>
      <c r="BB25" s="370"/>
      <c r="BC25" s="370"/>
      <c r="BD25" s="370"/>
      <c r="BE25" s="370"/>
      <c r="BF25" s="370"/>
      <c r="BG25" s="388"/>
      <c r="BH25" s="410"/>
      <c r="BI25" s="410"/>
      <c r="BJ25" s="410"/>
      <c r="BK25" s="31"/>
      <c r="BL25" s="31"/>
      <c r="BM25" s="31"/>
      <c r="BN25" s="373"/>
      <c r="BO25" s="374"/>
      <c r="BP25" s="373"/>
      <c r="BQ25" s="207"/>
      <c r="BR25" s="207"/>
      <c r="BS25" s="207"/>
      <c r="BT25" s="207"/>
      <c r="BU25" s="207"/>
      <c r="BV25" s="207"/>
      <c r="BW25" s="407"/>
      <c r="BX25" s="388"/>
      <c r="BY25" s="443"/>
    </row>
    <row r="26">
      <c r="A26" s="364"/>
      <c r="B26" s="410"/>
      <c r="C26" s="404"/>
      <c r="D26" s="449"/>
      <c r="E26" s="163">
        <v>24.0</v>
      </c>
      <c r="F26" s="367">
        <f t="shared" si="11"/>
        <v>0</v>
      </c>
      <c r="G26" s="367">
        <f t="shared" si="12"/>
        <v>0</v>
      </c>
      <c r="H26" s="368">
        <f t="shared" si="13"/>
        <v>0</v>
      </c>
      <c r="I26" s="369"/>
      <c r="J26" s="410"/>
      <c r="K26" s="410"/>
      <c r="L26" s="410"/>
      <c r="M26" s="410"/>
      <c r="N26" s="410"/>
      <c r="O26" s="370"/>
      <c r="P26" s="370"/>
      <c r="Q26" s="370"/>
      <c r="R26" s="370"/>
      <c r="S26" s="370"/>
      <c r="T26" s="369"/>
      <c r="U26" s="410"/>
      <c r="V26" s="410"/>
      <c r="W26" s="370"/>
      <c r="X26" s="370"/>
      <c r="Y26" s="370"/>
      <c r="Z26" s="370"/>
      <c r="AA26" s="370"/>
      <c r="AB26" s="410"/>
      <c r="AC26" s="410"/>
      <c r="AD26" s="410"/>
      <c r="AE26" s="369"/>
      <c r="AF26" s="386"/>
      <c r="AG26" s="410"/>
      <c r="AH26" s="410"/>
      <c r="AI26" s="370"/>
      <c r="AJ26" s="370"/>
      <c r="AK26" s="370"/>
      <c r="AL26" s="370"/>
      <c r="AM26" s="370"/>
      <c r="AN26" s="386"/>
      <c r="AO26" s="386"/>
      <c r="AP26" s="369"/>
      <c r="AQ26" s="410"/>
      <c r="AR26" s="410"/>
      <c r="AS26" s="370"/>
      <c r="AT26" s="370"/>
      <c r="AU26" s="370"/>
      <c r="AV26" s="370"/>
      <c r="AW26" s="370"/>
      <c r="AX26" s="370"/>
      <c r="AY26" s="370"/>
      <c r="AZ26" s="370"/>
      <c r="BA26" s="388"/>
      <c r="BB26" s="370"/>
      <c r="BC26" s="370"/>
      <c r="BD26" s="370"/>
      <c r="BE26" s="370"/>
      <c r="BF26" s="370"/>
      <c r="BG26" s="388"/>
      <c r="BH26" s="410"/>
      <c r="BI26" s="410"/>
      <c r="BJ26" s="410"/>
      <c r="BK26" s="31"/>
      <c r="BL26" s="31"/>
      <c r="BM26" s="31"/>
      <c r="BN26" s="373"/>
      <c r="BO26" s="374"/>
      <c r="BP26" s="373"/>
      <c r="BQ26" s="113"/>
      <c r="BR26" s="113"/>
      <c r="BS26" s="113"/>
      <c r="BT26" s="113"/>
      <c r="BU26" s="113"/>
      <c r="BV26" s="113"/>
      <c r="BW26" s="376"/>
      <c r="BX26" s="388"/>
      <c r="BY26" s="377"/>
    </row>
    <row r="27">
      <c r="A27" s="378"/>
      <c r="B27" s="379"/>
      <c r="C27" s="412"/>
      <c r="D27" s="449"/>
      <c r="E27" s="163">
        <v>24.0</v>
      </c>
      <c r="F27" s="382">
        <f t="shared" si="11"/>
        <v>0</v>
      </c>
      <c r="G27" s="382">
        <f t="shared" si="12"/>
        <v>0</v>
      </c>
      <c r="H27" s="383">
        <f t="shared" si="13"/>
        <v>0</v>
      </c>
      <c r="I27" s="369"/>
      <c r="J27" s="379"/>
      <c r="K27" s="379"/>
      <c r="L27" s="379"/>
      <c r="M27" s="379"/>
      <c r="N27" s="379"/>
      <c r="O27" s="384"/>
      <c r="P27" s="384"/>
      <c r="Q27" s="384"/>
      <c r="R27" s="384"/>
      <c r="S27" s="384"/>
      <c r="T27" s="369"/>
      <c r="U27" s="379"/>
      <c r="V27" s="379"/>
      <c r="W27" s="384"/>
      <c r="X27" s="384"/>
      <c r="Y27" s="384"/>
      <c r="Z27" s="384"/>
      <c r="AA27" s="384"/>
      <c r="AB27" s="379"/>
      <c r="AC27" s="379"/>
      <c r="AD27" s="379"/>
      <c r="AE27" s="369"/>
      <c r="AF27" s="386"/>
      <c r="AG27" s="379"/>
      <c r="AH27" s="379"/>
      <c r="AI27" s="384"/>
      <c r="AJ27" s="384"/>
      <c r="AK27" s="384"/>
      <c r="AL27" s="384"/>
      <c r="AM27" s="384"/>
      <c r="AN27" s="386"/>
      <c r="AO27" s="386"/>
      <c r="AP27" s="369"/>
      <c r="AQ27" s="379"/>
      <c r="AR27" s="379"/>
      <c r="AS27" s="384"/>
      <c r="AT27" s="384"/>
      <c r="AU27" s="384"/>
      <c r="AV27" s="384"/>
      <c r="AW27" s="384"/>
      <c r="AX27" s="384"/>
      <c r="AY27" s="384"/>
      <c r="AZ27" s="384"/>
      <c r="BA27" s="388"/>
      <c r="BB27" s="384"/>
      <c r="BC27" s="384"/>
      <c r="BD27" s="384"/>
      <c r="BE27" s="384"/>
      <c r="BF27" s="384"/>
      <c r="BG27" s="388"/>
      <c r="BH27" s="379"/>
      <c r="BI27" s="379"/>
      <c r="BJ27" s="379"/>
      <c r="BK27" s="331"/>
      <c r="BL27" s="331"/>
      <c r="BM27" s="331"/>
      <c r="BN27" s="390"/>
      <c r="BO27" s="392"/>
      <c r="BP27" s="390"/>
      <c r="BQ27" s="402"/>
      <c r="BR27" s="402"/>
      <c r="BS27" s="402"/>
      <c r="BT27" s="402"/>
      <c r="BU27" s="402"/>
      <c r="BV27" s="402"/>
      <c r="BW27" s="416"/>
      <c r="BX27" s="388"/>
      <c r="BY27" s="335"/>
    </row>
    <row r="28">
      <c r="A28" s="378"/>
      <c r="B28" s="379"/>
      <c r="C28" s="412"/>
      <c r="D28" s="449"/>
      <c r="E28" s="163">
        <v>24.0</v>
      </c>
      <c r="F28" s="382">
        <f t="shared" si="11"/>
        <v>0</v>
      </c>
      <c r="G28" s="382">
        <f t="shared" si="12"/>
        <v>0</v>
      </c>
      <c r="H28" s="383">
        <f t="shared" si="13"/>
        <v>0</v>
      </c>
      <c r="I28" s="369"/>
      <c r="J28" s="379"/>
      <c r="K28" s="379"/>
      <c r="L28" s="379"/>
      <c r="M28" s="379"/>
      <c r="N28" s="379"/>
      <c r="O28" s="384"/>
      <c r="P28" s="384"/>
      <c r="Q28" s="384"/>
      <c r="R28" s="384"/>
      <c r="S28" s="384"/>
      <c r="T28" s="369"/>
      <c r="U28" s="379"/>
      <c r="V28" s="379"/>
      <c r="W28" s="384"/>
      <c r="X28" s="384"/>
      <c r="Y28" s="384"/>
      <c r="Z28" s="384"/>
      <c r="AA28" s="384"/>
      <c r="AB28" s="379"/>
      <c r="AC28" s="379"/>
      <c r="AD28" s="379"/>
      <c r="AE28" s="369"/>
      <c r="AF28" s="386"/>
      <c r="AG28" s="379"/>
      <c r="AH28" s="379"/>
      <c r="AI28" s="384"/>
      <c r="AJ28" s="384"/>
      <c r="AK28" s="384"/>
      <c r="AL28" s="384"/>
      <c r="AM28" s="384"/>
      <c r="AN28" s="386"/>
      <c r="AO28" s="386"/>
      <c r="AP28" s="369"/>
      <c r="AQ28" s="379"/>
      <c r="AR28" s="379"/>
      <c r="AS28" s="384"/>
      <c r="AT28" s="384"/>
      <c r="AU28" s="384"/>
      <c r="AV28" s="384"/>
      <c r="AW28" s="384"/>
      <c r="AX28" s="384"/>
      <c r="AY28" s="384"/>
      <c r="AZ28" s="384"/>
      <c r="BA28" s="388"/>
      <c r="BB28" s="384"/>
      <c r="BC28" s="384"/>
      <c r="BD28" s="384"/>
      <c r="BE28" s="384"/>
      <c r="BF28" s="384"/>
      <c r="BG28" s="388"/>
      <c r="BH28" s="379"/>
      <c r="BI28" s="379"/>
      <c r="BJ28" s="379"/>
      <c r="BK28" s="389"/>
      <c r="BL28" s="331"/>
      <c r="BM28" s="331"/>
      <c r="BN28" s="390"/>
      <c r="BO28" s="392"/>
      <c r="BP28" s="390"/>
      <c r="BQ28" s="391"/>
      <c r="BR28" s="391"/>
      <c r="BS28" s="391"/>
      <c r="BT28" s="391"/>
      <c r="BU28" s="391"/>
      <c r="BV28" s="391"/>
      <c r="BW28" s="395"/>
      <c r="BX28" s="388"/>
      <c r="BY28" s="335"/>
    </row>
    <row r="29">
      <c r="A29" s="378"/>
      <c r="B29" s="379"/>
      <c r="C29" s="412"/>
      <c r="D29" s="449"/>
      <c r="E29" s="163">
        <v>24.0</v>
      </c>
      <c r="F29" s="382">
        <f t="shared" si="11"/>
        <v>0</v>
      </c>
      <c r="G29" s="382">
        <f t="shared" si="12"/>
        <v>0</v>
      </c>
      <c r="H29" s="383">
        <f t="shared" si="13"/>
        <v>0</v>
      </c>
      <c r="I29" s="369"/>
      <c r="J29" s="379"/>
      <c r="K29" s="379"/>
      <c r="L29" s="379"/>
      <c r="M29" s="379"/>
      <c r="N29" s="379"/>
      <c r="O29" s="384"/>
      <c r="P29" s="384"/>
      <c r="Q29" s="384"/>
      <c r="R29" s="384"/>
      <c r="S29" s="384"/>
      <c r="T29" s="369"/>
      <c r="U29" s="379"/>
      <c r="V29" s="379"/>
      <c r="W29" s="384"/>
      <c r="X29" s="384"/>
      <c r="Y29" s="384"/>
      <c r="Z29" s="384"/>
      <c r="AA29" s="384"/>
      <c r="AB29" s="379"/>
      <c r="AC29" s="379"/>
      <c r="AD29" s="379"/>
      <c r="AE29" s="369"/>
      <c r="AF29" s="386"/>
      <c r="AG29" s="379"/>
      <c r="AH29" s="379"/>
      <c r="AI29" s="384"/>
      <c r="AJ29" s="384"/>
      <c r="AK29" s="384"/>
      <c r="AL29" s="384"/>
      <c r="AM29" s="384"/>
      <c r="AN29" s="386"/>
      <c r="AO29" s="386"/>
      <c r="AP29" s="369"/>
      <c r="AQ29" s="379"/>
      <c r="AR29" s="379"/>
      <c r="AS29" s="384"/>
      <c r="AT29" s="384"/>
      <c r="AU29" s="384"/>
      <c r="AV29" s="384"/>
      <c r="AW29" s="384"/>
      <c r="AX29" s="384"/>
      <c r="AY29" s="384"/>
      <c r="AZ29" s="384"/>
      <c r="BA29" s="388"/>
      <c r="BB29" s="384"/>
      <c r="BC29" s="384"/>
      <c r="BD29" s="384"/>
      <c r="BE29" s="384"/>
      <c r="BF29" s="384"/>
      <c r="BG29" s="388"/>
      <c r="BH29" s="379"/>
      <c r="BI29" s="379"/>
      <c r="BJ29" s="379"/>
      <c r="BK29" s="389"/>
      <c r="BL29" s="331"/>
      <c r="BM29" s="331"/>
      <c r="BN29" s="390"/>
      <c r="BO29" s="392"/>
      <c r="BP29" s="390"/>
      <c r="BQ29" s="402"/>
      <c r="BR29" s="402"/>
      <c r="BS29" s="402"/>
      <c r="BT29" s="402"/>
      <c r="BU29" s="402"/>
      <c r="BV29" s="402"/>
      <c r="BW29" s="398"/>
      <c r="BX29" s="388"/>
      <c r="BY29" s="335"/>
    </row>
    <row r="30">
      <c r="A30" s="450"/>
      <c r="B30" s="410"/>
      <c r="C30" s="451"/>
      <c r="D30" s="452"/>
      <c r="E30" s="163">
        <v>24.0</v>
      </c>
      <c r="F30" s="367">
        <f t="shared" si="11"/>
        <v>0</v>
      </c>
      <c r="G30" s="367">
        <f t="shared" si="12"/>
        <v>0</v>
      </c>
      <c r="H30" s="368">
        <f t="shared" si="13"/>
        <v>0</v>
      </c>
      <c r="I30" s="369"/>
      <c r="J30" s="410"/>
      <c r="K30" s="410"/>
      <c r="L30" s="410"/>
      <c r="M30" s="410"/>
      <c r="N30" s="410"/>
      <c r="O30" s="370"/>
      <c r="P30" s="370"/>
      <c r="Q30" s="370"/>
      <c r="R30" s="370"/>
      <c r="S30" s="370"/>
      <c r="T30" s="369"/>
      <c r="U30" s="410"/>
      <c r="V30" s="410"/>
      <c r="W30" s="370"/>
      <c r="X30" s="370"/>
      <c r="Y30" s="370"/>
      <c r="Z30" s="370"/>
      <c r="AA30" s="370"/>
      <c r="AB30" s="410"/>
      <c r="AC30" s="410"/>
      <c r="AD30" s="410"/>
      <c r="AE30" s="369"/>
      <c r="AF30" s="386"/>
      <c r="AG30" s="410"/>
      <c r="AH30" s="410"/>
      <c r="AI30" s="370"/>
      <c r="AJ30" s="370"/>
      <c r="AK30" s="370"/>
      <c r="AL30" s="370"/>
      <c r="AM30" s="370"/>
      <c r="AN30" s="386"/>
      <c r="AO30" s="386"/>
      <c r="AP30" s="369"/>
      <c r="AQ30" s="410"/>
      <c r="AR30" s="410"/>
      <c r="AS30" s="370"/>
      <c r="AT30" s="370"/>
      <c r="AU30" s="370"/>
      <c r="AV30" s="370"/>
      <c r="AW30" s="370"/>
      <c r="AX30" s="370"/>
      <c r="AY30" s="370"/>
      <c r="AZ30" s="370"/>
      <c r="BA30" s="388"/>
      <c r="BB30" s="370"/>
      <c r="BC30" s="370"/>
      <c r="BD30" s="370"/>
      <c r="BE30" s="370"/>
      <c r="BF30" s="370"/>
      <c r="BG30" s="388"/>
      <c r="BH30" s="410"/>
      <c r="BI30" s="410"/>
      <c r="BJ30" s="410"/>
      <c r="BL30" s="31"/>
      <c r="BM30" s="31"/>
      <c r="BN30" s="262"/>
      <c r="BO30" s="374"/>
      <c r="BP30" s="262"/>
      <c r="BQ30" s="113"/>
      <c r="BR30" s="113"/>
      <c r="BS30" s="113"/>
      <c r="BT30" s="113"/>
      <c r="BU30" s="113"/>
      <c r="BV30" s="113"/>
      <c r="BW30" s="411"/>
      <c r="BX30" s="388"/>
      <c r="BY30" s="377"/>
    </row>
    <row r="31">
      <c r="A31" s="450"/>
      <c r="B31" s="410"/>
      <c r="C31" s="451"/>
      <c r="D31" s="452"/>
      <c r="E31" s="163">
        <v>24.0</v>
      </c>
      <c r="F31" s="367">
        <f t="shared" si="11"/>
        <v>0</v>
      </c>
      <c r="G31" s="367">
        <f t="shared" si="12"/>
        <v>0</v>
      </c>
      <c r="H31" s="368">
        <f t="shared" si="13"/>
        <v>0</v>
      </c>
      <c r="I31" s="369"/>
      <c r="J31" s="410"/>
      <c r="K31" s="410"/>
      <c r="L31" s="410"/>
      <c r="M31" s="410"/>
      <c r="N31" s="410"/>
      <c r="O31" s="370"/>
      <c r="P31" s="370"/>
      <c r="Q31" s="370"/>
      <c r="R31" s="370"/>
      <c r="S31" s="370"/>
      <c r="T31" s="369"/>
      <c r="U31" s="410"/>
      <c r="V31" s="410"/>
      <c r="W31" s="370"/>
      <c r="X31" s="370"/>
      <c r="Y31" s="370"/>
      <c r="Z31" s="370"/>
      <c r="AA31" s="370"/>
      <c r="AB31" s="410"/>
      <c r="AC31" s="410"/>
      <c r="AD31" s="410"/>
      <c r="AE31" s="369"/>
      <c r="AF31" s="386"/>
      <c r="AG31" s="410"/>
      <c r="AH31" s="410"/>
      <c r="AI31" s="370"/>
      <c r="AJ31" s="370"/>
      <c r="AK31" s="370"/>
      <c r="AL31" s="370"/>
      <c r="AM31" s="370"/>
      <c r="AN31" s="386"/>
      <c r="AO31" s="386"/>
      <c r="AP31" s="369"/>
      <c r="AQ31" s="410"/>
      <c r="AR31" s="410"/>
      <c r="AS31" s="370"/>
      <c r="AT31" s="370"/>
      <c r="AU31" s="370"/>
      <c r="AV31" s="370"/>
      <c r="AW31" s="370"/>
      <c r="AX31" s="370"/>
      <c r="AY31" s="370"/>
      <c r="AZ31" s="370"/>
      <c r="BA31" s="388"/>
      <c r="BB31" s="370"/>
      <c r="BC31" s="370"/>
      <c r="BD31" s="370"/>
      <c r="BE31" s="370"/>
      <c r="BF31" s="370"/>
      <c r="BG31" s="388"/>
      <c r="BH31" s="410"/>
      <c r="BI31" s="410"/>
      <c r="BJ31" s="410"/>
      <c r="BK31" s="31"/>
      <c r="BL31" s="31"/>
      <c r="BM31" s="31"/>
      <c r="BN31" s="373"/>
      <c r="BO31" s="374"/>
      <c r="BP31" s="375"/>
      <c r="BQ31" s="207"/>
      <c r="BR31" s="207"/>
      <c r="BS31" s="207"/>
      <c r="BT31" s="207"/>
      <c r="BU31" s="207"/>
      <c r="BV31" s="207"/>
      <c r="BW31" s="407"/>
      <c r="BX31" s="388"/>
      <c r="BY31" s="377"/>
    </row>
    <row r="32">
      <c r="A32" s="450"/>
      <c r="B32" s="410"/>
      <c r="C32" s="451"/>
      <c r="D32" s="452"/>
      <c r="E32" s="163">
        <v>24.0</v>
      </c>
      <c r="F32" s="367">
        <f t="shared" si="11"/>
        <v>0</v>
      </c>
      <c r="G32" s="367">
        <f t="shared" si="12"/>
        <v>0</v>
      </c>
      <c r="H32" s="368">
        <f t="shared" si="13"/>
        <v>0</v>
      </c>
      <c r="I32" s="369"/>
      <c r="J32" s="410"/>
      <c r="K32" s="410"/>
      <c r="L32" s="410"/>
      <c r="M32" s="410"/>
      <c r="N32" s="410"/>
      <c r="O32" s="370"/>
      <c r="P32" s="370"/>
      <c r="Q32" s="370"/>
      <c r="R32" s="370"/>
      <c r="S32" s="370"/>
      <c r="T32" s="369"/>
      <c r="U32" s="410"/>
      <c r="V32" s="410"/>
      <c r="W32" s="370"/>
      <c r="X32" s="370"/>
      <c r="Y32" s="370"/>
      <c r="Z32" s="370"/>
      <c r="AA32" s="370"/>
      <c r="AB32" s="410"/>
      <c r="AC32" s="410"/>
      <c r="AD32" s="410"/>
      <c r="AE32" s="369"/>
      <c r="AF32" s="386"/>
      <c r="AG32" s="410"/>
      <c r="AH32" s="410"/>
      <c r="AI32" s="370"/>
      <c r="AJ32" s="370"/>
      <c r="AK32" s="370"/>
      <c r="AL32" s="370"/>
      <c r="AM32" s="370"/>
      <c r="AN32" s="386"/>
      <c r="AO32" s="386"/>
      <c r="AP32" s="369"/>
      <c r="AQ32" s="410"/>
      <c r="AR32" s="410"/>
      <c r="AS32" s="370"/>
      <c r="AT32" s="370"/>
      <c r="AU32" s="370"/>
      <c r="AV32" s="370"/>
      <c r="AW32" s="370"/>
      <c r="AX32" s="370"/>
      <c r="AY32" s="370"/>
      <c r="AZ32" s="370"/>
      <c r="BA32" s="388"/>
      <c r="BB32" s="370"/>
      <c r="BC32" s="370"/>
      <c r="BD32" s="370"/>
      <c r="BE32" s="370"/>
      <c r="BF32" s="370"/>
      <c r="BG32" s="388"/>
      <c r="BH32" s="410"/>
      <c r="BI32" s="410"/>
      <c r="BJ32" s="410"/>
      <c r="BK32" s="31"/>
      <c r="BL32" s="31"/>
      <c r="BM32" s="31"/>
      <c r="BN32" s="373"/>
      <c r="BO32" s="374"/>
      <c r="BP32" s="375"/>
      <c r="BQ32" s="113"/>
      <c r="BR32" s="113"/>
      <c r="BS32" s="113"/>
      <c r="BT32" s="113"/>
      <c r="BU32" s="113"/>
      <c r="BV32" s="113"/>
      <c r="BW32" s="376"/>
      <c r="BX32" s="388"/>
      <c r="BY32" s="377"/>
    </row>
    <row r="33">
      <c r="A33" s="378"/>
      <c r="B33" s="379"/>
      <c r="C33" s="412"/>
      <c r="D33" s="439"/>
      <c r="E33" s="163">
        <v>24.0</v>
      </c>
      <c r="F33" s="382">
        <f t="shared" si="11"/>
        <v>0</v>
      </c>
      <c r="G33" s="382">
        <f t="shared" si="12"/>
        <v>0</v>
      </c>
      <c r="H33" s="383">
        <f t="shared" si="13"/>
        <v>0</v>
      </c>
      <c r="I33" s="369"/>
      <c r="J33" s="379"/>
      <c r="K33" s="379"/>
      <c r="L33" s="379"/>
      <c r="M33" s="379"/>
      <c r="N33" s="379"/>
      <c r="O33" s="384"/>
      <c r="P33" s="384"/>
      <c r="Q33" s="384"/>
      <c r="R33" s="384"/>
      <c r="S33" s="384"/>
      <c r="T33" s="369"/>
      <c r="U33" s="379"/>
      <c r="V33" s="379"/>
      <c r="W33" s="384"/>
      <c r="X33" s="384"/>
      <c r="Y33" s="384"/>
      <c r="Z33" s="384"/>
      <c r="AA33" s="384"/>
      <c r="AB33" s="379"/>
      <c r="AC33" s="379"/>
      <c r="AD33" s="379"/>
      <c r="AE33" s="369"/>
      <c r="AF33" s="386"/>
      <c r="AG33" s="379"/>
      <c r="AH33" s="379"/>
      <c r="AI33" s="384"/>
      <c r="AJ33" s="384"/>
      <c r="AK33" s="384"/>
      <c r="AL33" s="384"/>
      <c r="AM33" s="384"/>
      <c r="AN33" s="386"/>
      <c r="AO33" s="386"/>
      <c r="AP33" s="369"/>
      <c r="AQ33" s="379"/>
      <c r="AR33" s="379"/>
      <c r="AS33" s="384"/>
      <c r="AT33" s="384"/>
      <c r="AU33" s="384"/>
      <c r="AV33" s="384"/>
      <c r="AW33" s="384"/>
      <c r="AX33" s="384"/>
      <c r="AY33" s="384"/>
      <c r="AZ33" s="384"/>
      <c r="BA33" s="388"/>
      <c r="BB33" s="384"/>
      <c r="BC33" s="384"/>
      <c r="BD33" s="384"/>
      <c r="BE33" s="384"/>
      <c r="BF33" s="384"/>
      <c r="BG33" s="388"/>
      <c r="BH33" s="379"/>
      <c r="BI33" s="379"/>
      <c r="BJ33" s="379"/>
      <c r="BK33" s="331"/>
      <c r="BL33" s="331"/>
      <c r="BM33" s="331"/>
      <c r="BN33" s="390"/>
      <c r="BO33" s="392"/>
      <c r="BP33" s="393"/>
      <c r="BQ33" s="402"/>
      <c r="BR33" s="402"/>
      <c r="BS33" s="402"/>
      <c r="BT33" s="402"/>
      <c r="BU33" s="402"/>
      <c r="BV33" s="402"/>
      <c r="BW33" s="416"/>
      <c r="BX33" s="388"/>
      <c r="BY33" s="335"/>
    </row>
    <row r="34">
      <c r="A34" s="378"/>
      <c r="B34" s="379"/>
      <c r="C34" s="412"/>
      <c r="D34" s="439"/>
      <c r="E34" s="163">
        <v>24.0</v>
      </c>
      <c r="F34" s="382">
        <f t="shared" si="11"/>
        <v>0</v>
      </c>
      <c r="G34" s="382">
        <f t="shared" si="12"/>
        <v>0</v>
      </c>
      <c r="H34" s="383">
        <f t="shared" si="13"/>
        <v>0</v>
      </c>
      <c r="I34" s="369"/>
      <c r="J34" s="379"/>
      <c r="K34" s="379"/>
      <c r="L34" s="379"/>
      <c r="M34" s="379"/>
      <c r="N34" s="379"/>
      <c r="O34" s="384"/>
      <c r="P34" s="384"/>
      <c r="Q34" s="384"/>
      <c r="R34" s="384"/>
      <c r="S34" s="384"/>
      <c r="T34" s="369"/>
      <c r="U34" s="379"/>
      <c r="V34" s="379"/>
      <c r="W34" s="384"/>
      <c r="X34" s="384"/>
      <c r="Y34" s="384"/>
      <c r="Z34" s="384"/>
      <c r="AA34" s="384"/>
      <c r="AB34" s="379"/>
      <c r="AC34" s="379"/>
      <c r="AD34" s="379"/>
      <c r="AE34" s="369"/>
      <c r="AF34" s="386"/>
      <c r="AG34" s="379"/>
      <c r="AH34" s="379"/>
      <c r="AI34" s="384"/>
      <c r="AJ34" s="384"/>
      <c r="AK34" s="384"/>
      <c r="AL34" s="384"/>
      <c r="AM34" s="384"/>
      <c r="AN34" s="386"/>
      <c r="AO34" s="386"/>
      <c r="AP34" s="369"/>
      <c r="AQ34" s="379"/>
      <c r="AR34" s="379"/>
      <c r="AS34" s="384"/>
      <c r="AT34" s="384"/>
      <c r="AU34" s="384"/>
      <c r="AV34" s="384"/>
      <c r="AW34" s="384"/>
      <c r="AX34" s="384"/>
      <c r="AY34" s="384"/>
      <c r="AZ34" s="384"/>
      <c r="BA34" s="388"/>
      <c r="BB34" s="384"/>
      <c r="BC34" s="384"/>
      <c r="BD34" s="384"/>
      <c r="BE34" s="384"/>
      <c r="BF34" s="384"/>
      <c r="BG34" s="388"/>
      <c r="BH34" s="379"/>
      <c r="BI34" s="379"/>
      <c r="BJ34" s="379"/>
      <c r="BK34" s="389"/>
      <c r="BL34" s="331"/>
      <c r="BM34" s="331"/>
      <c r="BN34" s="390"/>
      <c r="BO34" s="392"/>
      <c r="BP34" s="393"/>
      <c r="BQ34" s="391"/>
      <c r="BR34" s="391"/>
      <c r="BS34" s="391"/>
      <c r="BT34" s="391"/>
      <c r="BU34" s="391"/>
      <c r="BV34" s="391"/>
      <c r="BW34" s="395"/>
      <c r="BX34" s="388"/>
      <c r="BY34" s="335"/>
    </row>
    <row r="35">
      <c r="A35" s="378"/>
      <c r="B35" s="379"/>
      <c r="C35" s="412"/>
      <c r="D35" s="439"/>
      <c r="E35" s="163">
        <v>24.0</v>
      </c>
      <c r="F35" s="382">
        <f t="shared" si="11"/>
        <v>0</v>
      </c>
      <c r="G35" s="382">
        <f t="shared" si="12"/>
        <v>0</v>
      </c>
      <c r="H35" s="383">
        <f t="shared" si="13"/>
        <v>0</v>
      </c>
      <c r="I35" s="369"/>
      <c r="J35" s="379"/>
      <c r="K35" s="379"/>
      <c r="L35" s="379"/>
      <c r="M35" s="379"/>
      <c r="N35" s="379"/>
      <c r="O35" s="384"/>
      <c r="P35" s="384"/>
      <c r="Q35" s="384"/>
      <c r="R35" s="384"/>
      <c r="S35" s="384"/>
      <c r="T35" s="369"/>
      <c r="U35" s="379"/>
      <c r="V35" s="379"/>
      <c r="W35" s="384"/>
      <c r="X35" s="384"/>
      <c r="Y35" s="384"/>
      <c r="Z35" s="384"/>
      <c r="AA35" s="384"/>
      <c r="AB35" s="379"/>
      <c r="AC35" s="379"/>
      <c r="AD35" s="379"/>
      <c r="AE35" s="369"/>
      <c r="AF35" s="386"/>
      <c r="AG35" s="379"/>
      <c r="AH35" s="379"/>
      <c r="AI35" s="384"/>
      <c r="AJ35" s="384"/>
      <c r="AK35" s="384"/>
      <c r="AL35" s="384"/>
      <c r="AM35" s="384"/>
      <c r="AN35" s="386"/>
      <c r="AO35" s="386"/>
      <c r="AP35" s="369"/>
      <c r="AQ35" s="379"/>
      <c r="AR35" s="379"/>
      <c r="AS35" s="384"/>
      <c r="AT35" s="384"/>
      <c r="AU35" s="384"/>
      <c r="AV35" s="384"/>
      <c r="AW35" s="384"/>
      <c r="AX35" s="384"/>
      <c r="AY35" s="384"/>
      <c r="AZ35" s="384"/>
      <c r="BA35" s="388"/>
      <c r="BB35" s="384"/>
      <c r="BC35" s="384"/>
      <c r="BD35" s="384"/>
      <c r="BE35" s="384"/>
      <c r="BF35" s="384"/>
      <c r="BG35" s="388"/>
      <c r="BH35" s="379"/>
      <c r="BI35" s="379"/>
      <c r="BJ35" s="379"/>
      <c r="BK35" s="389"/>
      <c r="BL35" s="331"/>
      <c r="BM35" s="331"/>
      <c r="BN35" s="390"/>
      <c r="BO35" s="392"/>
      <c r="BP35" s="393"/>
      <c r="BQ35" s="402"/>
      <c r="BR35" s="402"/>
      <c r="BS35" s="402"/>
      <c r="BT35" s="402"/>
      <c r="BU35" s="402"/>
      <c r="BV35" s="402"/>
      <c r="BW35" s="398"/>
      <c r="BX35" s="388"/>
      <c r="BY35" s="335"/>
    </row>
    <row r="36">
      <c r="A36" s="450"/>
      <c r="B36" s="410"/>
      <c r="C36" s="451"/>
      <c r="D36" s="448"/>
      <c r="E36" s="163">
        <v>24.0</v>
      </c>
      <c r="F36" s="367">
        <f t="shared" si="11"/>
        <v>0</v>
      </c>
      <c r="G36" s="367">
        <f t="shared" si="12"/>
        <v>0</v>
      </c>
      <c r="H36" s="368">
        <f t="shared" si="13"/>
        <v>0</v>
      </c>
      <c r="I36" s="369"/>
      <c r="J36" s="410"/>
      <c r="K36" s="410"/>
      <c r="L36" s="410"/>
      <c r="M36" s="410"/>
      <c r="N36" s="410"/>
      <c r="O36" s="370"/>
      <c r="P36" s="370"/>
      <c r="Q36" s="370"/>
      <c r="R36" s="370"/>
      <c r="S36" s="370"/>
      <c r="T36" s="369"/>
      <c r="U36" s="410"/>
      <c r="V36" s="410"/>
      <c r="W36" s="370"/>
      <c r="X36" s="370"/>
      <c r="Y36" s="370"/>
      <c r="Z36" s="370"/>
      <c r="AA36" s="370"/>
      <c r="AB36" s="410"/>
      <c r="AC36" s="410"/>
      <c r="AD36" s="410"/>
      <c r="AE36" s="369"/>
      <c r="AF36" s="386"/>
      <c r="AG36" s="410"/>
      <c r="AH36" s="410"/>
      <c r="AI36" s="370"/>
      <c r="AJ36" s="370"/>
      <c r="AK36" s="370"/>
      <c r="AL36" s="370"/>
      <c r="AM36" s="370"/>
      <c r="AN36" s="386"/>
      <c r="AO36" s="386"/>
      <c r="AP36" s="369"/>
      <c r="AQ36" s="410"/>
      <c r="AR36" s="410"/>
      <c r="AS36" s="370"/>
      <c r="AT36" s="370"/>
      <c r="AU36" s="370"/>
      <c r="AV36" s="370"/>
      <c r="AW36" s="370"/>
      <c r="AX36" s="370"/>
      <c r="AY36" s="370"/>
      <c r="AZ36" s="370"/>
      <c r="BA36" s="388"/>
      <c r="BB36" s="370"/>
      <c r="BC36" s="370"/>
      <c r="BD36" s="370"/>
      <c r="BE36" s="370"/>
      <c r="BF36" s="370"/>
      <c r="BG36" s="388"/>
      <c r="BH36" s="410"/>
      <c r="BI36" s="410"/>
      <c r="BJ36" s="410"/>
      <c r="BL36" s="31"/>
      <c r="BM36" s="31"/>
      <c r="BN36" s="262"/>
      <c r="BO36" s="374"/>
      <c r="BP36" s="375"/>
      <c r="BQ36" s="113"/>
      <c r="BR36" s="113"/>
      <c r="BS36" s="113"/>
      <c r="BT36" s="113"/>
      <c r="BU36" s="113"/>
      <c r="BV36" s="113"/>
      <c r="BW36" s="411"/>
      <c r="BX36" s="388"/>
      <c r="BY36" s="377"/>
    </row>
    <row r="37">
      <c r="A37" s="450"/>
      <c r="B37" s="410"/>
      <c r="C37" s="451"/>
      <c r="D37" s="448"/>
      <c r="E37" s="163">
        <v>24.0</v>
      </c>
      <c r="F37" s="367">
        <f t="shared" si="11"/>
        <v>0</v>
      </c>
      <c r="G37" s="367">
        <f t="shared" si="12"/>
        <v>0</v>
      </c>
      <c r="H37" s="368">
        <f t="shared" si="13"/>
        <v>0</v>
      </c>
      <c r="I37" s="369"/>
      <c r="J37" s="410"/>
      <c r="K37" s="410"/>
      <c r="L37" s="410"/>
      <c r="M37" s="410"/>
      <c r="N37" s="410"/>
      <c r="O37" s="370"/>
      <c r="P37" s="370"/>
      <c r="Q37" s="370"/>
      <c r="R37" s="370"/>
      <c r="S37" s="370"/>
      <c r="T37" s="369"/>
      <c r="U37" s="410"/>
      <c r="V37" s="410"/>
      <c r="W37" s="370"/>
      <c r="X37" s="370"/>
      <c r="Y37" s="370"/>
      <c r="Z37" s="370"/>
      <c r="AA37" s="370"/>
      <c r="AB37" s="410"/>
      <c r="AC37" s="410"/>
      <c r="AD37" s="410"/>
      <c r="AE37" s="369"/>
      <c r="AF37" s="386"/>
      <c r="AG37" s="410"/>
      <c r="AH37" s="410"/>
      <c r="AI37" s="370"/>
      <c r="AJ37" s="370"/>
      <c r="AK37" s="370"/>
      <c r="AL37" s="370"/>
      <c r="AM37" s="370"/>
      <c r="AN37" s="386"/>
      <c r="AO37" s="386"/>
      <c r="AP37" s="369"/>
      <c r="AQ37" s="410"/>
      <c r="AR37" s="410"/>
      <c r="AS37" s="370"/>
      <c r="AT37" s="370"/>
      <c r="AU37" s="370"/>
      <c r="AV37" s="370"/>
      <c r="AW37" s="370"/>
      <c r="AX37" s="370"/>
      <c r="AY37" s="370"/>
      <c r="AZ37" s="370"/>
      <c r="BA37" s="388"/>
      <c r="BB37" s="370"/>
      <c r="BC37" s="370"/>
      <c r="BD37" s="370"/>
      <c r="BE37" s="370"/>
      <c r="BF37" s="370"/>
      <c r="BG37" s="388"/>
      <c r="BH37" s="410"/>
      <c r="BI37" s="410"/>
      <c r="BJ37" s="410"/>
      <c r="BK37" s="31"/>
      <c r="BL37" s="31"/>
      <c r="BM37" s="31"/>
      <c r="BN37" s="373"/>
      <c r="BO37" s="374"/>
      <c r="BP37" s="375"/>
      <c r="BQ37" s="207"/>
      <c r="BR37" s="207"/>
      <c r="BS37" s="207"/>
      <c r="BT37" s="207"/>
      <c r="BU37" s="207"/>
      <c r="BV37" s="207"/>
      <c r="BW37" s="407"/>
      <c r="BX37" s="388"/>
      <c r="BY37" s="377"/>
    </row>
    <row r="38">
      <c r="A38" s="453"/>
      <c r="B38" s="454"/>
      <c r="C38" s="455"/>
      <c r="D38" s="456"/>
      <c r="E38" s="457">
        <v>24.0</v>
      </c>
      <c r="F38" s="458">
        <f t="shared" si="11"/>
        <v>0</v>
      </c>
      <c r="G38" s="458">
        <f t="shared" si="12"/>
        <v>0</v>
      </c>
      <c r="H38" s="459">
        <f t="shared" si="13"/>
        <v>0</v>
      </c>
      <c r="I38" s="460"/>
      <c r="J38" s="454"/>
      <c r="K38" s="454"/>
      <c r="L38" s="454"/>
      <c r="M38" s="454"/>
      <c r="N38" s="454"/>
      <c r="O38" s="461"/>
      <c r="P38" s="461"/>
      <c r="Q38" s="461"/>
      <c r="R38" s="461"/>
      <c r="S38" s="461"/>
      <c r="T38" s="460"/>
      <c r="U38" s="454"/>
      <c r="V38" s="454"/>
      <c r="W38" s="461"/>
      <c r="X38" s="461"/>
      <c r="Y38" s="461"/>
      <c r="Z38" s="461"/>
      <c r="AA38" s="461"/>
      <c r="AB38" s="454"/>
      <c r="AC38" s="454"/>
      <c r="AD38" s="454"/>
      <c r="AE38" s="460"/>
      <c r="AF38" s="462"/>
      <c r="AG38" s="454"/>
      <c r="AH38" s="454"/>
      <c r="AI38" s="461"/>
      <c r="AJ38" s="461"/>
      <c r="AK38" s="461"/>
      <c r="AL38" s="461"/>
      <c r="AM38" s="461"/>
      <c r="AN38" s="462"/>
      <c r="AO38" s="462"/>
      <c r="AP38" s="460"/>
      <c r="AQ38" s="454"/>
      <c r="AR38" s="454"/>
      <c r="AS38" s="461"/>
      <c r="AT38" s="461"/>
      <c r="AU38" s="461"/>
      <c r="AV38" s="461"/>
      <c r="AW38" s="461"/>
      <c r="AX38" s="461"/>
      <c r="AY38" s="461"/>
      <c r="AZ38" s="461"/>
      <c r="BA38" s="463"/>
      <c r="BB38" s="461"/>
      <c r="BC38" s="461"/>
      <c r="BD38" s="461"/>
      <c r="BE38" s="461"/>
      <c r="BF38" s="461"/>
      <c r="BG38" s="463"/>
      <c r="BH38" s="454"/>
      <c r="BI38" s="454"/>
      <c r="BJ38" s="454"/>
      <c r="BK38" s="66"/>
      <c r="BL38" s="66"/>
      <c r="BM38" s="66"/>
      <c r="BN38" s="464"/>
      <c r="BO38" s="465"/>
      <c r="BP38" s="466"/>
      <c r="BQ38" s="226"/>
      <c r="BR38" s="226"/>
      <c r="BS38" s="226"/>
      <c r="BT38" s="226"/>
      <c r="BU38" s="226"/>
      <c r="BV38" s="226"/>
      <c r="BW38" s="467"/>
      <c r="BX38" s="463"/>
      <c r="BY38" s="468"/>
    </row>
    <row r="39">
      <c r="A39" s="469"/>
      <c r="B39" s="470"/>
      <c r="C39" s="380"/>
      <c r="D39" s="471"/>
      <c r="E39" s="472">
        <v>26.0</v>
      </c>
      <c r="F39" s="382">
        <f t="shared" si="11"/>
        <v>0</v>
      </c>
      <c r="G39" s="382">
        <f t="shared" si="12"/>
        <v>0</v>
      </c>
      <c r="H39" s="383">
        <f t="shared" si="13"/>
        <v>0</v>
      </c>
      <c r="I39" s="369"/>
      <c r="J39" s="473"/>
      <c r="K39" s="473"/>
      <c r="L39" s="473"/>
      <c r="M39" s="473"/>
      <c r="N39" s="473"/>
      <c r="O39" s="384"/>
      <c r="P39" s="384"/>
      <c r="Q39" s="384"/>
      <c r="R39" s="384"/>
      <c r="S39" s="384"/>
      <c r="T39" s="369"/>
      <c r="U39" s="473"/>
      <c r="V39" s="473"/>
      <c r="W39" s="384"/>
      <c r="X39" s="384"/>
      <c r="Y39" s="384"/>
      <c r="Z39" s="384"/>
      <c r="AA39" s="384"/>
      <c r="AB39" s="473"/>
      <c r="AC39" s="473"/>
      <c r="AD39" s="473"/>
      <c r="AE39" s="369"/>
      <c r="AF39" s="474"/>
      <c r="AG39" s="473"/>
      <c r="AH39" s="473"/>
      <c r="AI39" s="384"/>
      <c r="AJ39" s="384"/>
      <c r="AK39" s="384"/>
      <c r="AL39" s="384"/>
      <c r="AM39" s="384"/>
      <c r="AN39" s="474"/>
      <c r="AO39" s="474"/>
      <c r="AP39" s="369"/>
      <c r="AQ39" s="473"/>
      <c r="AR39" s="473"/>
      <c r="AS39" s="384"/>
      <c r="AT39" s="384"/>
      <c r="AU39" s="384"/>
      <c r="AV39" s="384"/>
      <c r="AW39" s="384"/>
      <c r="AX39" s="384"/>
      <c r="AY39" s="384"/>
      <c r="AZ39" s="384"/>
      <c r="BA39" s="475"/>
      <c r="BB39" s="384"/>
      <c r="BC39" s="476"/>
      <c r="BD39" s="384"/>
      <c r="BE39" s="384"/>
      <c r="BF39" s="384"/>
      <c r="BG39" s="475"/>
      <c r="BH39" s="470"/>
      <c r="BI39" s="470"/>
      <c r="BJ39" s="470"/>
      <c r="BK39" s="331"/>
      <c r="BL39" s="331"/>
      <c r="BM39" s="331"/>
      <c r="BN39" s="390"/>
      <c r="BO39" s="392"/>
      <c r="BP39" s="393"/>
      <c r="BQ39" s="402"/>
      <c r="BR39" s="402"/>
      <c r="BS39" s="402"/>
      <c r="BT39" s="402"/>
      <c r="BU39" s="402"/>
      <c r="BV39" s="402"/>
      <c r="BW39" s="416"/>
      <c r="BX39" s="475"/>
      <c r="BY39" s="335"/>
    </row>
    <row r="40">
      <c r="A40" s="469"/>
      <c r="B40" s="470"/>
      <c r="C40" s="380"/>
      <c r="D40" s="471"/>
      <c r="E40" s="472">
        <v>26.0</v>
      </c>
      <c r="F40" s="382">
        <f t="shared" si="11"/>
        <v>0</v>
      </c>
      <c r="G40" s="382">
        <f t="shared" si="12"/>
        <v>0</v>
      </c>
      <c r="H40" s="383">
        <f t="shared" si="13"/>
        <v>0</v>
      </c>
      <c r="I40" s="369"/>
      <c r="J40" s="473"/>
      <c r="K40" s="473"/>
      <c r="L40" s="473"/>
      <c r="M40" s="473"/>
      <c r="N40" s="473"/>
      <c r="O40" s="384"/>
      <c r="P40" s="384"/>
      <c r="Q40" s="384"/>
      <c r="R40" s="384"/>
      <c r="S40" s="384"/>
      <c r="T40" s="369"/>
      <c r="U40" s="473"/>
      <c r="V40" s="473"/>
      <c r="W40" s="384"/>
      <c r="X40" s="384"/>
      <c r="Y40" s="384"/>
      <c r="Z40" s="384"/>
      <c r="AA40" s="384"/>
      <c r="AB40" s="473"/>
      <c r="AC40" s="473"/>
      <c r="AD40" s="473"/>
      <c r="AE40" s="369"/>
      <c r="AF40" s="474"/>
      <c r="AG40" s="473"/>
      <c r="AH40" s="473"/>
      <c r="AI40" s="384"/>
      <c r="AJ40" s="384"/>
      <c r="AK40" s="384"/>
      <c r="AL40" s="384"/>
      <c r="AM40" s="384"/>
      <c r="AN40" s="474"/>
      <c r="AO40" s="474"/>
      <c r="AP40" s="369"/>
      <c r="AQ40" s="473"/>
      <c r="AR40" s="473"/>
      <c r="AS40" s="384"/>
      <c r="AT40" s="384"/>
      <c r="AU40" s="384"/>
      <c r="AV40" s="384"/>
      <c r="AW40" s="384"/>
      <c r="AX40" s="384"/>
      <c r="AY40" s="384"/>
      <c r="AZ40" s="384"/>
      <c r="BA40" s="475"/>
      <c r="BB40" s="384"/>
      <c r="BC40" s="476"/>
      <c r="BD40" s="384"/>
      <c r="BE40" s="384"/>
      <c r="BF40" s="384"/>
      <c r="BG40" s="475"/>
      <c r="BH40" s="470"/>
      <c r="BI40" s="470"/>
      <c r="BJ40" s="470"/>
      <c r="BK40" s="389"/>
      <c r="BL40" s="331"/>
      <c r="BM40" s="331"/>
      <c r="BN40" s="390"/>
      <c r="BO40" s="398"/>
      <c r="BP40" s="398"/>
      <c r="BQ40" s="392"/>
      <c r="BR40" s="393"/>
      <c r="BS40" s="477"/>
      <c r="BT40" s="477"/>
      <c r="BU40" s="477"/>
      <c r="BV40" s="477"/>
      <c r="BW40" s="395"/>
      <c r="BX40" s="475"/>
      <c r="BY40" s="335"/>
    </row>
    <row r="41">
      <c r="A41" s="469"/>
      <c r="B41" s="470"/>
      <c r="C41" s="380"/>
      <c r="D41" s="471"/>
      <c r="E41" s="472">
        <v>26.0</v>
      </c>
      <c r="F41" s="382">
        <f t="shared" si="11"/>
        <v>0</v>
      </c>
      <c r="G41" s="382">
        <f t="shared" si="12"/>
        <v>0</v>
      </c>
      <c r="H41" s="383">
        <f t="shared" si="13"/>
        <v>0</v>
      </c>
      <c r="I41" s="369"/>
      <c r="J41" s="473"/>
      <c r="K41" s="473"/>
      <c r="L41" s="473"/>
      <c r="M41" s="473"/>
      <c r="N41" s="473"/>
      <c r="O41" s="384"/>
      <c r="P41" s="384"/>
      <c r="Q41" s="384"/>
      <c r="R41" s="384"/>
      <c r="S41" s="384"/>
      <c r="T41" s="369"/>
      <c r="U41" s="473"/>
      <c r="V41" s="473"/>
      <c r="W41" s="384"/>
      <c r="X41" s="384"/>
      <c r="Y41" s="384"/>
      <c r="Z41" s="384"/>
      <c r="AA41" s="384"/>
      <c r="AB41" s="473"/>
      <c r="AC41" s="473"/>
      <c r="AD41" s="473"/>
      <c r="AE41" s="369"/>
      <c r="AF41" s="474"/>
      <c r="AG41" s="473"/>
      <c r="AH41" s="473"/>
      <c r="AI41" s="384"/>
      <c r="AJ41" s="384"/>
      <c r="AK41" s="384"/>
      <c r="AL41" s="384"/>
      <c r="AM41" s="384"/>
      <c r="AN41" s="474"/>
      <c r="AO41" s="474"/>
      <c r="AP41" s="369"/>
      <c r="AQ41" s="473"/>
      <c r="AR41" s="473"/>
      <c r="AS41" s="384"/>
      <c r="AT41" s="384"/>
      <c r="AU41" s="384"/>
      <c r="AV41" s="384"/>
      <c r="AW41" s="384"/>
      <c r="AX41" s="384"/>
      <c r="AY41" s="384"/>
      <c r="AZ41" s="384"/>
      <c r="BA41" s="475"/>
      <c r="BB41" s="384"/>
      <c r="BC41" s="476"/>
      <c r="BD41" s="384"/>
      <c r="BE41" s="384"/>
      <c r="BF41" s="384"/>
      <c r="BG41" s="475"/>
      <c r="BH41" s="470"/>
      <c r="BI41" s="470"/>
      <c r="BJ41" s="470"/>
      <c r="BK41" s="389"/>
      <c r="BL41" s="331"/>
      <c r="BM41" s="331"/>
      <c r="BN41" s="390"/>
      <c r="BO41" s="398"/>
      <c r="BP41" s="398"/>
      <c r="BQ41" s="392"/>
      <c r="BR41" s="393"/>
      <c r="BS41" s="477"/>
      <c r="BT41" s="477"/>
      <c r="BU41" s="477"/>
      <c r="BV41" s="477"/>
      <c r="BW41" s="398"/>
      <c r="BX41" s="475"/>
      <c r="BY41" s="335"/>
    </row>
    <row r="42">
      <c r="A42" s="478"/>
      <c r="B42" s="479"/>
      <c r="C42" s="480"/>
      <c r="D42" s="481"/>
      <c r="E42" s="472">
        <v>26.0</v>
      </c>
      <c r="F42" s="367">
        <f t="shared" si="11"/>
        <v>0</v>
      </c>
      <c r="G42" s="367">
        <f t="shared" si="12"/>
        <v>0</v>
      </c>
      <c r="H42" s="368">
        <f t="shared" si="13"/>
        <v>0</v>
      </c>
      <c r="I42" s="369"/>
      <c r="J42" s="482"/>
      <c r="K42" s="482"/>
      <c r="L42" s="482"/>
      <c r="M42" s="482"/>
      <c r="N42" s="482"/>
      <c r="O42" s="370"/>
      <c r="P42" s="370"/>
      <c r="Q42" s="370"/>
      <c r="R42" s="370"/>
      <c r="S42" s="370"/>
      <c r="T42" s="369"/>
      <c r="U42" s="482"/>
      <c r="V42" s="482"/>
      <c r="W42" s="370"/>
      <c r="X42" s="370"/>
      <c r="Y42" s="370"/>
      <c r="Z42" s="370"/>
      <c r="AA42" s="370"/>
      <c r="AB42" s="482"/>
      <c r="AC42" s="482"/>
      <c r="AD42" s="482"/>
      <c r="AE42" s="369"/>
      <c r="AF42" s="474"/>
      <c r="AG42" s="482"/>
      <c r="AH42" s="410"/>
      <c r="AI42" s="370"/>
      <c r="AJ42" s="370"/>
      <c r="AK42" s="370"/>
      <c r="AL42" s="370"/>
      <c r="AM42" s="370"/>
      <c r="AN42" s="474"/>
      <c r="AO42" s="474"/>
      <c r="AP42" s="369"/>
      <c r="AQ42" s="482"/>
      <c r="AR42" s="482"/>
      <c r="AS42" s="370"/>
      <c r="AT42" s="370"/>
      <c r="AU42" s="370"/>
      <c r="AV42" s="370"/>
      <c r="AW42" s="370"/>
      <c r="AX42" s="370"/>
      <c r="AY42" s="370"/>
      <c r="AZ42" s="370"/>
      <c r="BA42" s="475"/>
      <c r="BB42" s="370"/>
      <c r="BC42" s="483"/>
      <c r="BD42" s="370"/>
      <c r="BE42" s="370"/>
      <c r="BF42" s="370"/>
      <c r="BG42" s="475"/>
      <c r="BH42" s="479"/>
      <c r="BI42" s="479"/>
      <c r="BJ42" s="479"/>
      <c r="BL42" s="31"/>
      <c r="BM42" s="31"/>
      <c r="BN42" s="262"/>
      <c r="BO42" s="376"/>
      <c r="BP42" s="376"/>
      <c r="BQ42" s="374"/>
      <c r="BR42" s="375"/>
      <c r="BS42" s="484"/>
      <c r="BT42" s="484"/>
      <c r="BU42" s="484"/>
      <c r="BV42" s="484"/>
      <c r="BW42" s="411"/>
      <c r="BX42" s="475"/>
      <c r="BY42" s="377"/>
    </row>
    <row r="43">
      <c r="A43" s="478"/>
      <c r="B43" s="479"/>
      <c r="C43" s="480"/>
      <c r="D43" s="481"/>
      <c r="E43" s="472">
        <v>26.0</v>
      </c>
      <c r="F43" s="367">
        <f t="shared" si="11"/>
        <v>0</v>
      </c>
      <c r="G43" s="367">
        <f t="shared" si="12"/>
        <v>0</v>
      </c>
      <c r="H43" s="368">
        <f t="shared" si="13"/>
        <v>0</v>
      </c>
      <c r="I43" s="369"/>
      <c r="J43" s="482"/>
      <c r="K43" s="482"/>
      <c r="L43" s="482"/>
      <c r="M43" s="482"/>
      <c r="N43" s="482"/>
      <c r="O43" s="370"/>
      <c r="P43" s="370"/>
      <c r="Q43" s="370"/>
      <c r="R43" s="370"/>
      <c r="S43" s="370"/>
      <c r="T43" s="369"/>
      <c r="U43" s="482"/>
      <c r="V43" s="482"/>
      <c r="W43" s="370"/>
      <c r="X43" s="370"/>
      <c r="Y43" s="370"/>
      <c r="Z43" s="370"/>
      <c r="AA43" s="370"/>
      <c r="AB43" s="482"/>
      <c r="AC43" s="482"/>
      <c r="AD43" s="482"/>
      <c r="AE43" s="369"/>
      <c r="AF43" s="474"/>
      <c r="AG43" s="482"/>
      <c r="AH43" s="410"/>
      <c r="AI43" s="370"/>
      <c r="AJ43" s="370"/>
      <c r="AK43" s="370"/>
      <c r="AL43" s="370"/>
      <c r="AM43" s="370"/>
      <c r="AN43" s="474"/>
      <c r="AO43" s="474"/>
      <c r="AP43" s="369"/>
      <c r="AQ43" s="482"/>
      <c r="AR43" s="482"/>
      <c r="AS43" s="370"/>
      <c r="AT43" s="370"/>
      <c r="AU43" s="370"/>
      <c r="AV43" s="370"/>
      <c r="AW43" s="370"/>
      <c r="AX43" s="370"/>
      <c r="AY43" s="370"/>
      <c r="AZ43" s="370"/>
      <c r="BA43" s="475"/>
      <c r="BB43" s="370"/>
      <c r="BC43" s="483"/>
      <c r="BD43" s="370"/>
      <c r="BE43" s="370"/>
      <c r="BF43" s="370"/>
      <c r="BG43" s="475"/>
      <c r="BH43" s="479"/>
      <c r="BI43" s="479"/>
      <c r="BJ43" s="479"/>
      <c r="BK43" s="31"/>
      <c r="BL43" s="31"/>
      <c r="BM43" s="31"/>
      <c r="BN43" s="373"/>
      <c r="BO43" s="374"/>
      <c r="BP43" s="375"/>
      <c r="BQ43" s="207"/>
      <c r="BR43" s="207"/>
      <c r="BS43" s="207"/>
      <c r="BT43" s="207"/>
      <c r="BU43" s="207"/>
      <c r="BV43" s="207"/>
      <c r="BW43" s="407"/>
      <c r="BX43" s="475"/>
      <c r="BY43" s="377"/>
    </row>
    <row r="44">
      <c r="A44" s="478"/>
      <c r="B44" s="479"/>
      <c r="C44" s="480"/>
      <c r="D44" s="481"/>
      <c r="E44" s="472">
        <v>26.0</v>
      </c>
      <c r="F44" s="367">
        <f t="shared" si="11"/>
        <v>0</v>
      </c>
      <c r="G44" s="367">
        <f t="shared" si="12"/>
        <v>0</v>
      </c>
      <c r="H44" s="368">
        <f t="shared" si="13"/>
        <v>0</v>
      </c>
      <c r="I44" s="369"/>
      <c r="J44" s="482"/>
      <c r="K44" s="482"/>
      <c r="L44" s="482"/>
      <c r="M44" s="482"/>
      <c r="N44" s="482"/>
      <c r="O44" s="370"/>
      <c r="P44" s="370"/>
      <c r="Q44" s="370"/>
      <c r="R44" s="370"/>
      <c r="S44" s="370"/>
      <c r="T44" s="369"/>
      <c r="U44" s="482"/>
      <c r="V44" s="482"/>
      <c r="W44" s="370"/>
      <c r="X44" s="370"/>
      <c r="Y44" s="370"/>
      <c r="Z44" s="370"/>
      <c r="AA44" s="370"/>
      <c r="AB44" s="482"/>
      <c r="AC44" s="482"/>
      <c r="AD44" s="482"/>
      <c r="AE44" s="369"/>
      <c r="AF44" s="474"/>
      <c r="AG44" s="482"/>
      <c r="AH44" s="410"/>
      <c r="AI44" s="370"/>
      <c r="AJ44" s="370"/>
      <c r="AK44" s="370"/>
      <c r="AL44" s="370"/>
      <c r="AM44" s="370"/>
      <c r="AN44" s="474"/>
      <c r="AO44" s="474"/>
      <c r="AP44" s="369"/>
      <c r="AQ44" s="482"/>
      <c r="AR44" s="482"/>
      <c r="AS44" s="370"/>
      <c r="AT44" s="370"/>
      <c r="AU44" s="370"/>
      <c r="AV44" s="370"/>
      <c r="AW44" s="370"/>
      <c r="AX44" s="370"/>
      <c r="AY44" s="370"/>
      <c r="AZ44" s="370"/>
      <c r="BA44" s="475"/>
      <c r="BB44" s="370"/>
      <c r="BC44" s="483"/>
      <c r="BD44" s="370"/>
      <c r="BE44" s="370"/>
      <c r="BF44" s="370"/>
      <c r="BG44" s="475"/>
      <c r="BH44" s="479"/>
      <c r="BI44" s="479"/>
      <c r="BJ44" s="479"/>
      <c r="BK44" s="31"/>
      <c r="BL44" s="31"/>
      <c r="BM44" s="31"/>
      <c r="BN44" s="373"/>
      <c r="BO44" s="374"/>
      <c r="BP44" s="375"/>
      <c r="BQ44" s="113"/>
      <c r="BR44" s="113"/>
      <c r="BS44" s="113"/>
      <c r="BT44" s="113"/>
      <c r="BU44" s="113"/>
      <c r="BV44" s="113"/>
      <c r="BW44" s="376"/>
      <c r="BX44" s="475"/>
      <c r="BY44" s="377"/>
    </row>
    <row r="45">
      <c r="A45" s="469"/>
      <c r="B45" s="473"/>
      <c r="C45" s="485"/>
      <c r="D45" s="481"/>
      <c r="E45" s="472">
        <v>26.0</v>
      </c>
      <c r="F45" s="382">
        <f t="shared" si="11"/>
        <v>0</v>
      </c>
      <c r="G45" s="382">
        <f t="shared" si="12"/>
        <v>0</v>
      </c>
      <c r="H45" s="383">
        <f t="shared" si="13"/>
        <v>0</v>
      </c>
      <c r="I45" s="369"/>
      <c r="J45" s="473"/>
      <c r="K45" s="473"/>
      <c r="L45" s="473"/>
      <c r="M45" s="473"/>
      <c r="N45" s="473"/>
      <c r="O45" s="384"/>
      <c r="P45" s="384"/>
      <c r="Q45" s="384"/>
      <c r="R45" s="384"/>
      <c r="S45" s="384"/>
      <c r="T45" s="369"/>
      <c r="U45" s="473"/>
      <c r="V45" s="473"/>
      <c r="W45" s="384"/>
      <c r="X45" s="384"/>
      <c r="Y45" s="384"/>
      <c r="Z45" s="384"/>
      <c r="AA45" s="384"/>
      <c r="AB45" s="473"/>
      <c r="AC45" s="473"/>
      <c r="AD45" s="473"/>
      <c r="AE45" s="369"/>
      <c r="AF45" s="474"/>
      <c r="AG45" s="473"/>
      <c r="AH45" s="473"/>
      <c r="AI45" s="384"/>
      <c r="AJ45" s="384"/>
      <c r="AK45" s="384"/>
      <c r="AL45" s="384"/>
      <c r="AM45" s="384"/>
      <c r="AN45" s="474"/>
      <c r="AO45" s="474"/>
      <c r="AP45" s="369"/>
      <c r="AQ45" s="473"/>
      <c r="AR45" s="473"/>
      <c r="AS45" s="384"/>
      <c r="AT45" s="384"/>
      <c r="AU45" s="384"/>
      <c r="AV45" s="384"/>
      <c r="AW45" s="384"/>
      <c r="AX45" s="384"/>
      <c r="AY45" s="384"/>
      <c r="AZ45" s="384"/>
      <c r="BA45" s="475"/>
      <c r="BB45" s="384"/>
      <c r="BC45" s="476"/>
      <c r="BD45" s="384"/>
      <c r="BE45" s="384"/>
      <c r="BF45" s="384"/>
      <c r="BG45" s="475"/>
      <c r="BH45" s="470"/>
      <c r="BI45" s="470"/>
      <c r="BJ45" s="470"/>
      <c r="BK45" s="331"/>
      <c r="BL45" s="331"/>
      <c r="BM45" s="331"/>
      <c r="BN45" s="390"/>
      <c r="BO45" s="392"/>
      <c r="BP45" s="393"/>
      <c r="BQ45" s="402"/>
      <c r="BR45" s="402"/>
      <c r="BS45" s="402"/>
      <c r="BT45" s="402"/>
      <c r="BU45" s="402"/>
      <c r="BV45" s="402"/>
      <c r="BW45" s="416"/>
      <c r="BX45" s="475"/>
      <c r="BY45" s="335"/>
    </row>
    <row r="46">
      <c r="A46" s="469"/>
      <c r="B46" s="470"/>
      <c r="C46" s="485"/>
      <c r="D46" s="481"/>
      <c r="E46" s="472">
        <v>26.0</v>
      </c>
      <c r="F46" s="382">
        <f t="shared" si="11"/>
        <v>0</v>
      </c>
      <c r="G46" s="382">
        <f t="shared" si="12"/>
        <v>0</v>
      </c>
      <c r="H46" s="383">
        <f t="shared" si="13"/>
        <v>0</v>
      </c>
      <c r="I46" s="369"/>
      <c r="J46" s="473"/>
      <c r="K46" s="473"/>
      <c r="L46" s="473"/>
      <c r="M46" s="473"/>
      <c r="N46" s="473"/>
      <c r="O46" s="384"/>
      <c r="P46" s="384"/>
      <c r="Q46" s="384"/>
      <c r="R46" s="384"/>
      <c r="S46" s="384"/>
      <c r="T46" s="369"/>
      <c r="U46" s="473"/>
      <c r="V46" s="473"/>
      <c r="W46" s="384"/>
      <c r="X46" s="384"/>
      <c r="Y46" s="384"/>
      <c r="Z46" s="384"/>
      <c r="AA46" s="384"/>
      <c r="AB46" s="473"/>
      <c r="AC46" s="473"/>
      <c r="AD46" s="473"/>
      <c r="AE46" s="369"/>
      <c r="AF46" s="474"/>
      <c r="AG46" s="473"/>
      <c r="AH46" s="473"/>
      <c r="AI46" s="384"/>
      <c r="AJ46" s="384"/>
      <c r="AK46" s="384"/>
      <c r="AL46" s="384"/>
      <c r="AM46" s="384"/>
      <c r="AN46" s="474"/>
      <c r="AO46" s="474"/>
      <c r="AP46" s="369"/>
      <c r="AQ46" s="473"/>
      <c r="AR46" s="473"/>
      <c r="AS46" s="384"/>
      <c r="AT46" s="384"/>
      <c r="AU46" s="384"/>
      <c r="AV46" s="384"/>
      <c r="AW46" s="384"/>
      <c r="AX46" s="384"/>
      <c r="AY46" s="384"/>
      <c r="AZ46" s="384"/>
      <c r="BA46" s="475"/>
      <c r="BB46" s="384"/>
      <c r="BC46" s="476"/>
      <c r="BD46" s="384"/>
      <c r="BE46" s="384"/>
      <c r="BF46" s="384"/>
      <c r="BG46" s="475"/>
      <c r="BH46" s="470"/>
      <c r="BI46" s="470"/>
      <c r="BJ46" s="470"/>
      <c r="BK46" s="389"/>
      <c r="BL46" s="331"/>
      <c r="BM46" s="331"/>
      <c r="BN46" s="390"/>
      <c r="BO46" s="398"/>
      <c r="BP46" s="398"/>
      <c r="BQ46" s="392"/>
      <c r="BR46" s="393"/>
      <c r="BS46" s="390"/>
      <c r="BT46" s="390"/>
      <c r="BU46" s="390"/>
      <c r="BV46" s="390"/>
      <c r="BW46" s="395"/>
      <c r="BX46" s="475"/>
      <c r="BY46" s="335"/>
    </row>
    <row r="47">
      <c r="A47" s="469"/>
      <c r="B47" s="470"/>
      <c r="C47" s="485"/>
      <c r="D47" s="481"/>
      <c r="E47" s="472">
        <v>26.0</v>
      </c>
      <c r="F47" s="382">
        <f t="shared" si="11"/>
        <v>0</v>
      </c>
      <c r="G47" s="382">
        <f t="shared" si="12"/>
        <v>0</v>
      </c>
      <c r="H47" s="383">
        <f t="shared" si="13"/>
        <v>0</v>
      </c>
      <c r="I47" s="369"/>
      <c r="J47" s="473"/>
      <c r="K47" s="473"/>
      <c r="L47" s="473"/>
      <c r="M47" s="473"/>
      <c r="N47" s="473"/>
      <c r="O47" s="384"/>
      <c r="P47" s="384"/>
      <c r="Q47" s="384"/>
      <c r="R47" s="384"/>
      <c r="S47" s="384"/>
      <c r="T47" s="369"/>
      <c r="U47" s="473"/>
      <c r="V47" s="473"/>
      <c r="W47" s="384"/>
      <c r="X47" s="384"/>
      <c r="Y47" s="384"/>
      <c r="Z47" s="384"/>
      <c r="AA47" s="384"/>
      <c r="AB47" s="473"/>
      <c r="AC47" s="473"/>
      <c r="AD47" s="473"/>
      <c r="AE47" s="369"/>
      <c r="AF47" s="474"/>
      <c r="AG47" s="473"/>
      <c r="AH47" s="473"/>
      <c r="AI47" s="384"/>
      <c r="AJ47" s="384"/>
      <c r="AK47" s="384"/>
      <c r="AL47" s="384"/>
      <c r="AM47" s="384"/>
      <c r="AN47" s="474"/>
      <c r="AO47" s="474"/>
      <c r="AP47" s="369"/>
      <c r="AQ47" s="473"/>
      <c r="AR47" s="473"/>
      <c r="AS47" s="384"/>
      <c r="AT47" s="384"/>
      <c r="AU47" s="384"/>
      <c r="AV47" s="384"/>
      <c r="AW47" s="384"/>
      <c r="AX47" s="384"/>
      <c r="AY47" s="384"/>
      <c r="AZ47" s="384"/>
      <c r="BA47" s="475"/>
      <c r="BB47" s="384"/>
      <c r="BC47" s="476"/>
      <c r="BD47" s="384"/>
      <c r="BE47" s="384"/>
      <c r="BF47" s="384"/>
      <c r="BG47" s="475"/>
      <c r="BH47" s="470"/>
      <c r="BI47" s="470"/>
      <c r="BJ47" s="470"/>
      <c r="BK47" s="389"/>
      <c r="BL47" s="331"/>
      <c r="BM47" s="331"/>
      <c r="BN47" s="390"/>
      <c r="BO47" s="398"/>
      <c r="BP47" s="398"/>
      <c r="BQ47" s="392"/>
      <c r="BR47" s="393"/>
      <c r="BS47" s="390"/>
      <c r="BT47" s="390"/>
      <c r="BU47" s="390"/>
      <c r="BV47" s="390"/>
      <c r="BW47" s="398"/>
      <c r="BX47" s="475"/>
      <c r="BY47" s="335"/>
    </row>
    <row r="48">
      <c r="A48" s="364"/>
      <c r="B48" s="365"/>
      <c r="C48" s="366"/>
      <c r="D48" s="486"/>
      <c r="E48" s="472">
        <v>26.0</v>
      </c>
      <c r="F48" s="367">
        <f t="shared" si="11"/>
        <v>0</v>
      </c>
      <c r="G48" s="367">
        <f t="shared" si="12"/>
        <v>0</v>
      </c>
      <c r="H48" s="368">
        <f t="shared" si="13"/>
        <v>0</v>
      </c>
      <c r="I48" s="369"/>
      <c r="J48" s="365"/>
      <c r="K48" s="365"/>
      <c r="L48" s="365"/>
      <c r="M48" s="365"/>
      <c r="N48" s="365"/>
      <c r="O48" s="370"/>
      <c r="P48" s="370"/>
      <c r="Q48" s="370"/>
      <c r="R48" s="370"/>
      <c r="S48" s="370"/>
      <c r="T48" s="369"/>
      <c r="U48" s="365"/>
      <c r="V48" s="365"/>
      <c r="W48" s="370"/>
      <c r="X48" s="370"/>
      <c r="Y48" s="370"/>
      <c r="Z48" s="370"/>
      <c r="AA48" s="370"/>
      <c r="AB48" s="365"/>
      <c r="AC48" s="365"/>
      <c r="AD48" s="365"/>
      <c r="AE48" s="369"/>
      <c r="AF48" s="371"/>
      <c r="AG48" s="365"/>
      <c r="AH48" s="410"/>
      <c r="AI48" s="370"/>
      <c r="AJ48" s="370"/>
      <c r="AK48" s="370"/>
      <c r="AL48" s="370"/>
      <c r="AM48" s="370"/>
      <c r="AN48" s="371"/>
      <c r="AO48" s="371"/>
      <c r="AP48" s="369"/>
      <c r="AQ48" s="365"/>
      <c r="AR48" s="365"/>
      <c r="AS48" s="370"/>
      <c r="AT48" s="370"/>
      <c r="AU48" s="370"/>
      <c r="AV48" s="370"/>
      <c r="AW48" s="370"/>
      <c r="AX48" s="370"/>
      <c r="AY48" s="370"/>
      <c r="AZ48" s="370"/>
      <c r="BA48" s="372"/>
      <c r="BB48" s="370"/>
      <c r="BC48" s="370"/>
      <c r="BD48" s="370"/>
      <c r="BE48" s="370"/>
      <c r="BF48" s="370"/>
      <c r="BG48" s="372"/>
      <c r="BH48" s="365"/>
      <c r="BI48" s="365"/>
      <c r="BJ48" s="365"/>
      <c r="BL48" s="31"/>
      <c r="BM48" s="31"/>
      <c r="BN48" s="262"/>
      <c r="BO48" s="376"/>
      <c r="BP48" s="376"/>
      <c r="BQ48" s="374"/>
      <c r="BR48" s="375"/>
      <c r="BS48" s="262"/>
      <c r="BT48" s="262"/>
      <c r="BU48" s="262"/>
      <c r="BV48" s="262"/>
      <c r="BW48" s="411"/>
      <c r="BX48" s="372"/>
      <c r="BY48" s="377"/>
    </row>
    <row r="49">
      <c r="A49" s="364"/>
      <c r="B49" s="365"/>
      <c r="C49" s="366"/>
      <c r="D49" s="486"/>
      <c r="E49" s="472">
        <v>26.0</v>
      </c>
      <c r="F49" s="367">
        <f t="shared" si="11"/>
        <v>0</v>
      </c>
      <c r="G49" s="367">
        <f t="shared" si="12"/>
        <v>0</v>
      </c>
      <c r="H49" s="368">
        <f t="shared" si="13"/>
        <v>0</v>
      </c>
      <c r="I49" s="369"/>
      <c r="J49" s="365"/>
      <c r="K49" s="365"/>
      <c r="L49" s="365"/>
      <c r="M49" s="365"/>
      <c r="N49" s="365"/>
      <c r="O49" s="370"/>
      <c r="P49" s="370"/>
      <c r="Q49" s="370"/>
      <c r="R49" s="370"/>
      <c r="S49" s="370"/>
      <c r="T49" s="369"/>
      <c r="U49" s="365"/>
      <c r="V49" s="365"/>
      <c r="W49" s="370"/>
      <c r="X49" s="370"/>
      <c r="Y49" s="370"/>
      <c r="Z49" s="370"/>
      <c r="AA49" s="370"/>
      <c r="AB49" s="365"/>
      <c r="AC49" s="365"/>
      <c r="AD49" s="365"/>
      <c r="AE49" s="369"/>
      <c r="AF49" s="371"/>
      <c r="AG49" s="365"/>
      <c r="AH49" s="410"/>
      <c r="AI49" s="370"/>
      <c r="AJ49" s="370"/>
      <c r="AK49" s="370"/>
      <c r="AL49" s="370"/>
      <c r="AM49" s="370"/>
      <c r="AN49" s="371"/>
      <c r="AO49" s="371"/>
      <c r="AP49" s="369"/>
      <c r="AQ49" s="365"/>
      <c r="AR49" s="365"/>
      <c r="AS49" s="370"/>
      <c r="AT49" s="370"/>
      <c r="AU49" s="370"/>
      <c r="AV49" s="370"/>
      <c r="AW49" s="370"/>
      <c r="AX49" s="370"/>
      <c r="AY49" s="370"/>
      <c r="AZ49" s="370"/>
      <c r="BA49" s="372"/>
      <c r="BB49" s="370"/>
      <c r="BC49" s="370"/>
      <c r="BD49" s="370"/>
      <c r="BE49" s="370"/>
      <c r="BF49" s="370"/>
      <c r="BG49" s="372"/>
      <c r="BH49" s="365"/>
      <c r="BI49" s="365"/>
      <c r="BJ49" s="365"/>
      <c r="BK49" s="31"/>
      <c r="BL49" s="31"/>
      <c r="BM49" s="31"/>
      <c r="BN49" s="373"/>
      <c r="BO49" s="376"/>
      <c r="BP49" s="376"/>
      <c r="BQ49" s="374"/>
      <c r="BR49" s="375"/>
      <c r="BS49" s="373"/>
      <c r="BT49" s="373"/>
      <c r="BU49" s="373"/>
      <c r="BV49" s="373"/>
      <c r="BW49" s="407"/>
      <c r="BX49" s="372"/>
      <c r="BY49" s="377"/>
    </row>
    <row r="50">
      <c r="A50" s="364"/>
      <c r="B50" s="365"/>
      <c r="C50" s="366"/>
      <c r="D50" s="486"/>
      <c r="E50" s="472">
        <v>26.0</v>
      </c>
      <c r="F50" s="367">
        <f t="shared" si="11"/>
        <v>0</v>
      </c>
      <c r="G50" s="367">
        <f t="shared" si="12"/>
        <v>0</v>
      </c>
      <c r="H50" s="368">
        <f t="shared" si="13"/>
        <v>0</v>
      </c>
      <c r="I50" s="369"/>
      <c r="J50" s="365"/>
      <c r="K50" s="365"/>
      <c r="L50" s="365"/>
      <c r="M50" s="365"/>
      <c r="N50" s="365"/>
      <c r="O50" s="370"/>
      <c r="P50" s="370"/>
      <c r="Q50" s="370"/>
      <c r="R50" s="370"/>
      <c r="S50" s="370"/>
      <c r="T50" s="369"/>
      <c r="U50" s="365"/>
      <c r="V50" s="365"/>
      <c r="W50" s="370"/>
      <c r="X50" s="370"/>
      <c r="Y50" s="370"/>
      <c r="Z50" s="370"/>
      <c r="AA50" s="370"/>
      <c r="AB50" s="365"/>
      <c r="AC50" s="365"/>
      <c r="AD50" s="365"/>
      <c r="AE50" s="369"/>
      <c r="AF50" s="371"/>
      <c r="AG50" s="365"/>
      <c r="AH50" s="410"/>
      <c r="AI50" s="370"/>
      <c r="AJ50" s="370"/>
      <c r="AK50" s="370"/>
      <c r="AL50" s="370"/>
      <c r="AM50" s="370"/>
      <c r="AN50" s="371"/>
      <c r="AO50" s="371"/>
      <c r="AP50" s="369"/>
      <c r="AQ50" s="365"/>
      <c r="AR50" s="365"/>
      <c r="AS50" s="370"/>
      <c r="AT50" s="370"/>
      <c r="AU50" s="370"/>
      <c r="AV50" s="370"/>
      <c r="AW50" s="370"/>
      <c r="AX50" s="370"/>
      <c r="AY50" s="370"/>
      <c r="AZ50" s="370"/>
      <c r="BA50" s="372"/>
      <c r="BB50" s="370"/>
      <c r="BC50" s="370"/>
      <c r="BD50" s="370"/>
      <c r="BE50" s="370"/>
      <c r="BF50" s="370"/>
      <c r="BG50" s="372"/>
      <c r="BH50" s="365"/>
      <c r="BI50" s="365"/>
      <c r="BJ50" s="365"/>
      <c r="BK50" s="31"/>
      <c r="BL50" s="31"/>
      <c r="BM50" s="31"/>
      <c r="BN50" s="373"/>
      <c r="BO50" s="376"/>
      <c r="BP50" s="376"/>
      <c r="BQ50" s="374"/>
      <c r="BR50" s="375"/>
      <c r="BS50" s="373"/>
      <c r="BT50" s="373"/>
      <c r="BU50" s="373"/>
      <c r="BV50" s="373"/>
      <c r="BW50" s="376"/>
      <c r="BX50" s="372"/>
      <c r="BY50" s="377"/>
    </row>
    <row r="51">
      <c r="A51" s="469"/>
      <c r="B51" s="473"/>
      <c r="C51" s="380"/>
      <c r="D51" s="381"/>
      <c r="E51" s="100">
        <v>23.0</v>
      </c>
      <c r="F51" s="382">
        <f t="shared" si="11"/>
        <v>0</v>
      </c>
      <c r="G51" s="487">
        <f t="shared" si="12"/>
        <v>0</v>
      </c>
      <c r="H51" s="383">
        <f t="shared" si="13"/>
        <v>0</v>
      </c>
      <c r="I51" s="369"/>
      <c r="J51" s="473"/>
      <c r="K51" s="473"/>
      <c r="L51" s="473"/>
      <c r="M51" s="473"/>
      <c r="N51" s="473"/>
      <c r="O51" s="384"/>
      <c r="P51" s="384"/>
      <c r="Q51" s="384"/>
      <c r="R51" s="384"/>
      <c r="S51" s="384"/>
      <c r="T51" s="369"/>
      <c r="U51" s="473"/>
      <c r="V51" s="473"/>
      <c r="W51" s="384"/>
      <c r="X51" s="384"/>
      <c r="Y51" s="384"/>
      <c r="Z51" s="384"/>
      <c r="AA51" s="384"/>
      <c r="AB51" s="473"/>
      <c r="AC51" s="473"/>
      <c r="AD51" s="473"/>
      <c r="AE51" s="369"/>
      <c r="AF51" s="474"/>
      <c r="AG51" s="473"/>
      <c r="AH51" s="473"/>
      <c r="AI51" s="384"/>
      <c r="AJ51" s="384"/>
      <c r="AK51" s="384"/>
      <c r="AL51" s="384"/>
      <c r="AM51" s="384"/>
      <c r="AN51" s="474"/>
      <c r="AO51" s="474"/>
      <c r="AP51" s="369"/>
      <c r="AQ51" s="473"/>
      <c r="AR51" s="473"/>
      <c r="AS51" s="384"/>
      <c r="AT51" s="384"/>
      <c r="AU51" s="384"/>
      <c r="AV51" s="384"/>
      <c r="AW51" s="384"/>
      <c r="AX51" s="384"/>
      <c r="AY51" s="384"/>
      <c r="AZ51" s="384"/>
      <c r="BA51" s="488"/>
      <c r="BB51" s="384"/>
      <c r="BC51" s="384"/>
      <c r="BD51" s="384"/>
      <c r="BE51" s="384"/>
      <c r="BF51" s="384"/>
      <c r="BG51" s="488"/>
      <c r="BH51" s="473"/>
      <c r="BI51" s="473"/>
      <c r="BJ51" s="473"/>
      <c r="BK51" s="331"/>
      <c r="BL51" s="331"/>
      <c r="BM51" s="331"/>
      <c r="BN51" s="390"/>
      <c r="BO51" s="398"/>
      <c r="BP51" s="398"/>
      <c r="BQ51" s="392"/>
      <c r="BR51" s="393"/>
      <c r="BS51" s="390"/>
      <c r="BT51" s="390"/>
      <c r="BU51" s="390"/>
      <c r="BV51" s="390"/>
      <c r="BW51" s="416"/>
      <c r="BX51" s="488"/>
      <c r="BY51" s="335"/>
    </row>
    <row r="52">
      <c r="A52" s="469"/>
      <c r="B52" s="473"/>
      <c r="C52" s="380"/>
      <c r="D52" s="381"/>
      <c r="E52" s="100">
        <v>23.0</v>
      </c>
      <c r="F52" s="382">
        <f t="shared" si="11"/>
        <v>0</v>
      </c>
      <c r="G52" s="487">
        <f t="shared" si="12"/>
        <v>0</v>
      </c>
      <c r="H52" s="383">
        <f t="shared" si="13"/>
        <v>0</v>
      </c>
      <c r="I52" s="489"/>
      <c r="J52" s="473"/>
      <c r="K52" s="473"/>
      <c r="L52" s="473"/>
      <c r="M52" s="473"/>
      <c r="N52" s="473"/>
      <c r="O52" s="384"/>
      <c r="P52" s="384"/>
      <c r="Q52" s="384"/>
      <c r="R52" s="384"/>
      <c r="S52" s="384"/>
      <c r="T52" s="489"/>
      <c r="U52" s="473"/>
      <c r="V52" s="473"/>
      <c r="W52" s="384"/>
      <c r="X52" s="384"/>
      <c r="Y52" s="384"/>
      <c r="Z52" s="384"/>
      <c r="AA52" s="384"/>
      <c r="AB52" s="473"/>
      <c r="AC52" s="473"/>
      <c r="AD52" s="473"/>
      <c r="AE52" s="489"/>
      <c r="AF52" s="474"/>
      <c r="AG52" s="473"/>
      <c r="AH52" s="473"/>
      <c r="AI52" s="384"/>
      <c r="AJ52" s="384"/>
      <c r="AK52" s="384"/>
      <c r="AL52" s="384"/>
      <c r="AM52" s="384"/>
      <c r="AN52" s="474"/>
      <c r="AO52" s="474"/>
      <c r="AP52" s="489"/>
      <c r="AQ52" s="473"/>
      <c r="AR52" s="473"/>
      <c r="AS52" s="384"/>
      <c r="AT52" s="384"/>
      <c r="AU52" s="384"/>
      <c r="AV52" s="384"/>
      <c r="AW52" s="384"/>
      <c r="AX52" s="384"/>
      <c r="AY52" s="384"/>
      <c r="AZ52" s="384"/>
      <c r="BA52" s="488"/>
      <c r="BB52" s="384"/>
      <c r="BC52" s="384"/>
      <c r="BD52" s="384"/>
      <c r="BE52" s="384"/>
      <c r="BF52" s="384"/>
      <c r="BG52" s="488"/>
      <c r="BH52" s="473"/>
      <c r="BI52" s="473"/>
      <c r="BJ52" s="473"/>
      <c r="BK52" s="389"/>
      <c r="BL52" s="331"/>
      <c r="BM52" s="331"/>
      <c r="BN52" s="490"/>
      <c r="BO52" s="490"/>
      <c r="BP52" s="490"/>
      <c r="BQ52" s="490"/>
      <c r="BR52" s="490"/>
      <c r="BS52" s="490"/>
      <c r="BT52" s="490"/>
      <c r="BU52" s="490"/>
      <c r="BV52" s="490"/>
      <c r="BW52" s="491"/>
      <c r="BX52" s="488"/>
      <c r="BY52" s="335"/>
    </row>
    <row r="53">
      <c r="A53" s="469"/>
      <c r="B53" s="492"/>
      <c r="C53" s="380"/>
      <c r="D53" s="381"/>
      <c r="E53" s="100">
        <v>23.0</v>
      </c>
      <c r="F53" s="382">
        <f t="shared" si="11"/>
        <v>0</v>
      </c>
      <c r="G53" s="487">
        <f t="shared" si="12"/>
        <v>0</v>
      </c>
      <c r="H53" s="383">
        <f t="shared" si="13"/>
        <v>0</v>
      </c>
      <c r="I53" s="489"/>
      <c r="J53" s="492"/>
      <c r="K53" s="492"/>
      <c r="L53" s="492"/>
      <c r="M53" s="492"/>
      <c r="N53" s="492"/>
      <c r="O53" s="384"/>
      <c r="P53" s="384"/>
      <c r="Q53" s="384"/>
      <c r="R53" s="384"/>
      <c r="S53" s="384"/>
      <c r="T53" s="489"/>
      <c r="U53" s="492"/>
      <c r="V53" s="492"/>
      <c r="W53" s="384"/>
      <c r="X53" s="384"/>
      <c r="Y53" s="384"/>
      <c r="Z53" s="384"/>
      <c r="AA53" s="384"/>
      <c r="AB53" s="492"/>
      <c r="AC53" s="492"/>
      <c r="AD53" s="492"/>
      <c r="AE53" s="489"/>
      <c r="AF53" s="371"/>
      <c r="AG53" s="492"/>
      <c r="AH53" s="492"/>
      <c r="AI53" s="384"/>
      <c r="AJ53" s="384"/>
      <c r="AK53" s="384"/>
      <c r="AL53" s="384"/>
      <c r="AM53" s="384"/>
      <c r="AN53" s="371"/>
      <c r="AO53" s="371"/>
      <c r="AP53" s="489"/>
      <c r="AQ53" s="492"/>
      <c r="AR53" s="492"/>
      <c r="AS53" s="384"/>
      <c r="AT53" s="384"/>
      <c r="AU53" s="384"/>
      <c r="AV53" s="384"/>
      <c r="AW53" s="384"/>
      <c r="AX53" s="384"/>
      <c r="AY53" s="384"/>
      <c r="AZ53" s="384"/>
      <c r="BA53" s="372"/>
      <c r="BB53" s="384"/>
      <c r="BC53" s="384"/>
      <c r="BD53" s="384"/>
      <c r="BE53" s="384"/>
      <c r="BF53" s="384"/>
      <c r="BG53" s="372"/>
      <c r="BH53" s="492"/>
      <c r="BI53" s="492"/>
      <c r="BJ53" s="492"/>
      <c r="BK53" s="389"/>
      <c r="BL53" s="331"/>
      <c r="BM53" s="331"/>
      <c r="BN53" s="490"/>
      <c r="BO53" s="490"/>
      <c r="BP53" s="490"/>
      <c r="BQ53" s="389"/>
      <c r="BR53" s="389"/>
      <c r="BS53" s="389"/>
      <c r="BT53" s="389"/>
      <c r="BU53" s="389"/>
      <c r="BV53" s="389"/>
      <c r="BW53" s="491"/>
      <c r="BX53" s="372"/>
      <c r="BY53" s="335"/>
    </row>
    <row r="54">
      <c r="A54" s="469"/>
      <c r="B54" s="492"/>
      <c r="C54" s="380"/>
      <c r="D54" s="381"/>
      <c r="E54" s="100">
        <v>23.0</v>
      </c>
      <c r="F54" s="382">
        <f t="shared" si="11"/>
        <v>0</v>
      </c>
      <c r="G54" s="487">
        <f t="shared" si="12"/>
        <v>0</v>
      </c>
      <c r="H54" s="383">
        <f t="shared" si="13"/>
        <v>0</v>
      </c>
      <c r="I54" s="489"/>
      <c r="J54" s="492"/>
      <c r="K54" s="492"/>
      <c r="L54" s="492"/>
      <c r="M54" s="492"/>
      <c r="N54" s="492"/>
      <c r="O54" s="384"/>
      <c r="P54" s="384"/>
      <c r="Q54" s="384"/>
      <c r="R54" s="384"/>
      <c r="S54" s="384"/>
      <c r="T54" s="489"/>
      <c r="U54" s="492"/>
      <c r="V54" s="492"/>
      <c r="W54" s="384"/>
      <c r="X54" s="384"/>
      <c r="Y54" s="384"/>
      <c r="Z54" s="384"/>
      <c r="AA54" s="384"/>
      <c r="AB54" s="492"/>
      <c r="AC54" s="492"/>
      <c r="AD54" s="492"/>
      <c r="AE54" s="489"/>
      <c r="AF54" s="371"/>
      <c r="AG54" s="492"/>
      <c r="AH54" s="492"/>
      <c r="AI54" s="384"/>
      <c r="AJ54" s="384"/>
      <c r="AK54" s="384"/>
      <c r="AL54" s="384"/>
      <c r="AM54" s="384"/>
      <c r="AN54" s="371"/>
      <c r="AO54" s="371"/>
      <c r="AP54" s="489"/>
      <c r="AQ54" s="492"/>
      <c r="AR54" s="492"/>
      <c r="AS54" s="384"/>
      <c r="AT54" s="384"/>
      <c r="AU54" s="384"/>
      <c r="AV54" s="384"/>
      <c r="AW54" s="384"/>
      <c r="AX54" s="384"/>
      <c r="AY54" s="384"/>
      <c r="AZ54" s="384"/>
      <c r="BA54" s="372"/>
      <c r="BB54" s="384"/>
      <c r="BC54" s="384"/>
      <c r="BD54" s="384"/>
      <c r="BE54" s="384"/>
      <c r="BF54" s="384"/>
      <c r="BG54" s="372"/>
      <c r="BH54" s="492"/>
      <c r="BI54" s="492"/>
      <c r="BJ54" s="492"/>
      <c r="BK54" s="389"/>
      <c r="BL54" s="331"/>
      <c r="BM54" s="331"/>
      <c r="BN54" s="389"/>
      <c r="BO54" s="389"/>
      <c r="BP54" s="389"/>
      <c r="BQ54" s="389"/>
      <c r="BR54" s="389"/>
      <c r="BS54" s="389"/>
      <c r="BT54" s="389"/>
      <c r="BU54" s="389"/>
      <c r="BV54" s="389"/>
      <c r="BW54" s="491"/>
      <c r="BX54" s="372"/>
      <c r="BY54" s="335"/>
    </row>
    <row r="55">
      <c r="A55" s="450"/>
      <c r="B55" s="410"/>
      <c r="C55" s="451"/>
      <c r="D55" s="493"/>
      <c r="E55" s="472">
        <v>26.0</v>
      </c>
      <c r="F55" s="367">
        <f t="shared" si="11"/>
        <v>0</v>
      </c>
      <c r="G55" s="367">
        <f t="shared" si="12"/>
        <v>0</v>
      </c>
      <c r="H55" s="368">
        <f t="shared" si="13"/>
        <v>0</v>
      </c>
      <c r="I55" s="369"/>
      <c r="J55" s="410"/>
      <c r="K55" s="410"/>
      <c r="L55" s="410"/>
      <c r="M55" s="410"/>
      <c r="N55" s="410"/>
      <c r="O55" s="370"/>
      <c r="P55" s="370"/>
      <c r="Q55" s="370"/>
      <c r="R55" s="370"/>
      <c r="S55" s="370"/>
      <c r="T55" s="369"/>
      <c r="U55" s="410"/>
      <c r="V55" s="410"/>
      <c r="W55" s="370"/>
      <c r="X55" s="370"/>
      <c r="Y55" s="370"/>
      <c r="Z55" s="370"/>
      <c r="AA55" s="370"/>
      <c r="AB55" s="410"/>
      <c r="AC55" s="410"/>
      <c r="AD55" s="410"/>
      <c r="AE55" s="369"/>
      <c r="AF55" s="386"/>
      <c r="AG55" s="410"/>
      <c r="AH55" s="410"/>
      <c r="AI55" s="370"/>
      <c r="AJ55" s="370"/>
      <c r="AK55" s="370"/>
      <c r="AL55" s="370"/>
      <c r="AM55" s="370"/>
      <c r="AN55" s="386"/>
      <c r="AO55" s="386"/>
      <c r="AP55" s="369"/>
      <c r="AQ55" s="410"/>
      <c r="AR55" s="410"/>
      <c r="AS55" s="370"/>
      <c r="AT55" s="370"/>
      <c r="AU55" s="370"/>
      <c r="AV55" s="370"/>
      <c r="AW55" s="370"/>
      <c r="AX55" s="370"/>
      <c r="AY55" s="370"/>
      <c r="AZ55" s="370"/>
      <c r="BA55" s="388"/>
      <c r="BB55" s="370"/>
      <c r="BC55" s="370"/>
      <c r="BD55" s="370"/>
      <c r="BE55" s="370"/>
      <c r="BF55" s="370"/>
      <c r="BG55" s="388"/>
      <c r="BH55" s="410"/>
      <c r="BI55" s="410"/>
      <c r="BJ55" s="410"/>
      <c r="BK55" s="31"/>
      <c r="BL55" s="31"/>
      <c r="BX55" s="388"/>
      <c r="BY55" s="377"/>
    </row>
    <row r="56">
      <c r="A56" s="450"/>
      <c r="B56" s="410"/>
      <c r="C56" s="451"/>
      <c r="D56" s="471"/>
      <c r="E56" s="472">
        <v>26.0</v>
      </c>
      <c r="F56" s="367">
        <f t="shared" si="11"/>
        <v>0</v>
      </c>
      <c r="G56" s="367">
        <f t="shared" si="12"/>
        <v>0</v>
      </c>
      <c r="H56" s="368">
        <f t="shared" si="13"/>
        <v>0</v>
      </c>
      <c r="I56" s="369"/>
      <c r="J56" s="410"/>
      <c r="K56" s="410"/>
      <c r="L56" s="410"/>
      <c r="M56" s="410"/>
      <c r="N56" s="410"/>
      <c r="O56" s="370"/>
      <c r="P56" s="370"/>
      <c r="Q56" s="370"/>
      <c r="R56" s="370"/>
      <c r="S56" s="370"/>
      <c r="T56" s="369"/>
      <c r="U56" s="410"/>
      <c r="V56" s="410"/>
      <c r="W56" s="370"/>
      <c r="X56" s="370"/>
      <c r="Y56" s="370"/>
      <c r="Z56" s="370"/>
      <c r="AA56" s="370"/>
      <c r="AB56" s="410"/>
      <c r="AC56" s="410"/>
      <c r="AD56" s="410"/>
      <c r="AE56" s="369"/>
      <c r="AF56" s="386"/>
      <c r="AG56" s="410"/>
      <c r="AH56" s="410"/>
      <c r="AI56" s="370"/>
      <c r="AJ56" s="370"/>
      <c r="AK56" s="370"/>
      <c r="AL56" s="370"/>
      <c r="AM56" s="370"/>
      <c r="AN56" s="386"/>
      <c r="AO56" s="386"/>
      <c r="AP56" s="369"/>
      <c r="AQ56" s="410"/>
      <c r="AR56" s="410"/>
      <c r="AS56" s="370"/>
      <c r="AT56" s="370"/>
      <c r="AU56" s="370"/>
      <c r="AV56" s="370"/>
      <c r="AW56" s="370"/>
      <c r="AX56" s="370"/>
      <c r="AY56" s="370"/>
      <c r="AZ56" s="370"/>
      <c r="BA56" s="388"/>
      <c r="BB56" s="370"/>
      <c r="BC56" s="370"/>
      <c r="BD56" s="370"/>
      <c r="BE56" s="370"/>
      <c r="BF56" s="370"/>
      <c r="BG56" s="388"/>
      <c r="BH56" s="410"/>
      <c r="BI56" s="410"/>
      <c r="BJ56" s="410"/>
      <c r="BX56" s="388"/>
      <c r="BY56" s="22"/>
    </row>
    <row r="57">
      <c r="A57" s="453"/>
      <c r="B57" s="454"/>
      <c r="C57" s="455"/>
      <c r="D57" s="494"/>
      <c r="E57" s="495">
        <v>26.0</v>
      </c>
      <c r="F57" s="458">
        <f t="shared" si="11"/>
        <v>0</v>
      </c>
      <c r="G57" s="458">
        <f t="shared" si="12"/>
        <v>0</v>
      </c>
      <c r="H57" s="459">
        <f t="shared" si="13"/>
        <v>0</v>
      </c>
      <c r="I57" s="496"/>
      <c r="J57" s="454"/>
      <c r="K57" s="454"/>
      <c r="L57" s="454"/>
      <c r="M57" s="454"/>
      <c r="N57" s="454"/>
      <c r="O57" s="461"/>
      <c r="P57" s="461"/>
      <c r="Q57" s="461"/>
      <c r="R57" s="461"/>
      <c r="S57" s="461"/>
      <c r="T57" s="496"/>
      <c r="U57" s="454"/>
      <c r="V57" s="454"/>
      <c r="W57" s="461"/>
      <c r="X57" s="461"/>
      <c r="Y57" s="461"/>
      <c r="Z57" s="461"/>
      <c r="AA57" s="461"/>
      <c r="AB57" s="454"/>
      <c r="AC57" s="454"/>
      <c r="AD57" s="454"/>
      <c r="AE57" s="496"/>
      <c r="AF57" s="462"/>
      <c r="AG57" s="454"/>
      <c r="AH57" s="454"/>
      <c r="AI57" s="461"/>
      <c r="AJ57" s="461"/>
      <c r="AK57" s="461"/>
      <c r="AL57" s="461"/>
      <c r="AM57" s="497"/>
      <c r="AN57" s="462"/>
      <c r="AO57" s="462"/>
      <c r="AP57" s="496"/>
      <c r="AQ57" s="454"/>
      <c r="AR57" s="454"/>
      <c r="AS57" s="461"/>
      <c r="AT57" s="461"/>
      <c r="AU57" s="497"/>
      <c r="AV57" s="461"/>
      <c r="AW57" s="461"/>
      <c r="AX57" s="461"/>
      <c r="AY57" s="461"/>
      <c r="AZ57" s="461"/>
      <c r="BA57" s="463"/>
      <c r="BB57" s="497"/>
      <c r="BC57" s="461"/>
      <c r="BD57" s="461"/>
      <c r="BE57" s="461"/>
      <c r="BF57" s="497"/>
      <c r="BG57" s="463"/>
      <c r="BH57" s="454"/>
      <c r="BI57" s="454"/>
      <c r="BJ57" s="454"/>
      <c r="BK57" s="16"/>
      <c r="BL57" s="16"/>
      <c r="BM57" s="16"/>
      <c r="BN57" s="16"/>
      <c r="BO57" s="16"/>
      <c r="BP57" s="16"/>
      <c r="BQ57" s="16"/>
      <c r="BR57" s="16"/>
      <c r="BS57" s="16"/>
      <c r="BT57" s="16"/>
      <c r="BU57" s="16"/>
      <c r="BV57" s="16"/>
      <c r="BW57" s="16"/>
      <c r="BX57" s="463"/>
      <c r="BY57" s="19"/>
    </row>
    <row r="58">
      <c r="X58" s="31" t="s">
        <v>688</v>
      </c>
      <c r="BA58" s="313"/>
      <c r="BG58" s="313"/>
      <c r="BX58" s="313"/>
    </row>
    <row r="59">
      <c r="F59">
        <f>G59-H59</f>
        <v>187</v>
      </c>
      <c r="G59" s="31">
        <f>210-22</f>
        <v>188</v>
      </c>
      <c r="H59">
        <f>MAX(H4:H55)</f>
        <v>1</v>
      </c>
      <c r="Z59" s="103"/>
      <c r="BA59" s="313"/>
      <c r="BG59" s="313"/>
      <c r="BX59" s="313"/>
    </row>
    <row r="60">
      <c r="G60" s="31">
        <v>33.0</v>
      </c>
      <c r="Z60" s="103"/>
      <c r="BA60" s="313"/>
      <c r="BG60" s="313"/>
      <c r="BX60" s="313"/>
    </row>
    <row r="61">
      <c r="G61" s="31">
        <v>48.0</v>
      </c>
      <c r="Z61" s="103"/>
      <c r="BA61" s="313"/>
      <c r="BG61" s="313"/>
      <c r="BX61" s="313"/>
    </row>
    <row r="62">
      <c r="G62">
        <f>G59+G60+61</f>
        <v>282</v>
      </c>
      <c r="Z62" s="103"/>
      <c r="BA62" s="313"/>
      <c r="BG62" s="313"/>
      <c r="BX62" s="313"/>
    </row>
    <row r="63">
      <c r="Z63" s="103"/>
      <c r="BA63" s="313"/>
      <c r="BG63" s="313"/>
      <c r="BX63" s="313"/>
    </row>
    <row r="64">
      <c r="BA64" s="313"/>
      <c r="BG64" s="313"/>
      <c r="BX64" s="313"/>
    </row>
    <row r="65">
      <c r="BA65" s="313"/>
      <c r="BG65" s="313"/>
      <c r="BX65" s="313"/>
    </row>
    <row r="66">
      <c r="BA66" s="313"/>
      <c r="BG66" s="313"/>
      <c r="BX66" s="313"/>
    </row>
    <row r="67">
      <c r="BA67" s="313"/>
      <c r="BG67" s="313"/>
      <c r="BX67" s="313"/>
    </row>
    <row r="68">
      <c r="BA68" s="313"/>
      <c r="BG68" s="313"/>
      <c r="BX68" s="313"/>
    </row>
    <row r="69">
      <c r="BA69" s="313"/>
      <c r="BG69" s="313"/>
      <c r="BX69" s="313"/>
    </row>
    <row r="70">
      <c r="BA70" s="313"/>
      <c r="BG70" s="313"/>
      <c r="BX70" s="313"/>
    </row>
    <row r="71">
      <c r="BA71" s="313"/>
      <c r="BG71" s="313"/>
      <c r="BX71" s="313"/>
    </row>
    <row r="72">
      <c r="BA72" s="313"/>
      <c r="BG72" s="313"/>
      <c r="BX72" s="313"/>
      <c r="BY72" s="315"/>
    </row>
    <row r="73">
      <c r="BA73" s="313"/>
      <c r="BG73" s="313"/>
      <c r="BX73" s="313"/>
      <c r="BY73" s="315"/>
    </row>
    <row r="74">
      <c r="BA74" s="313"/>
      <c r="BG74" s="313"/>
      <c r="BX74" s="313"/>
      <c r="BY74" s="315"/>
    </row>
    <row r="75">
      <c r="BA75" s="313"/>
      <c r="BG75" s="313"/>
      <c r="BX75" s="313"/>
      <c r="BY75" s="315"/>
    </row>
    <row r="76">
      <c r="BA76" s="313"/>
      <c r="BG76" s="313"/>
      <c r="BX76" s="313"/>
      <c r="BY76" s="315"/>
    </row>
    <row r="77">
      <c r="BA77" s="313"/>
      <c r="BG77" s="313"/>
      <c r="BX77" s="313"/>
      <c r="BY77" s="315"/>
    </row>
    <row r="78">
      <c r="BA78" s="313"/>
      <c r="BG78" s="313"/>
      <c r="BX78" s="313"/>
      <c r="BY78" s="315"/>
    </row>
    <row r="79">
      <c r="BA79" s="313"/>
      <c r="BG79" s="313"/>
      <c r="BX79" s="313"/>
      <c r="BY79" s="315"/>
    </row>
    <row r="80">
      <c r="BA80" s="313"/>
      <c r="BG80" s="313"/>
      <c r="BX80" s="313"/>
      <c r="BY80" s="315"/>
    </row>
    <row r="81">
      <c r="BA81" s="313"/>
      <c r="BG81" s="313"/>
      <c r="BX81" s="313"/>
      <c r="BY81" s="315"/>
    </row>
    <row r="82">
      <c r="BA82" s="313"/>
      <c r="BG82" s="313"/>
      <c r="BX82" s="313"/>
      <c r="BY82" s="315"/>
    </row>
    <row r="83">
      <c r="BA83" s="313"/>
      <c r="BG83" s="313"/>
      <c r="BX83" s="313"/>
      <c r="BY83" s="315"/>
    </row>
    <row r="84">
      <c r="BA84" s="313"/>
      <c r="BG84" s="313"/>
      <c r="BX84" s="313"/>
      <c r="BY84" s="315"/>
    </row>
    <row r="85">
      <c r="BA85" s="313"/>
      <c r="BG85" s="313"/>
      <c r="BX85" s="313"/>
      <c r="BY85" s="315"/>
    </row>
    <row r="86">
      <c r="BA86" s="313"/>
      <c r="BG86" s="313"/>
      <c r="BX86" s="313"/>
      <c r="BY86" s="315"/>
    </row>
    <row r="87">
      <c r="BA87" s="313"/>
      <c r="BG87" s="313"/>
      <c r="BX87" s="313"/>
      <c r="BY87" s="315"/>
    </row>
    <row r="88">
      <c r="BA88" s="313"/>
      <c r="BG88" s="313"/>
      <c r="BX88" s="313"/>
      <c r="BY88" s="315"/>
    </row>
    <row r="89">
      <c r="BA89" s="313"/>
      <c r="BG89" s="313"/>
      <c r="BX89" s="313"/>
      <c r="BY89" s="315"/>
    </row>
    <row r="90">
      <c r="BA90" s="313"/>
      <c r="BG90" s="313"/>
      <c r="BX90" s="313"/>
      <c r="BY90" s="315"/>
    </row>
    <row r="91">
      <c r="BA91" s="313"/>
      <c r="BG91" s="313"/>
      <c r="BX91" s="313"/>
      <c r="BY91" s="315"/>
    </row>
    <row r="92">
      <c r="BA92" s="313"/>
      <c r="BG92" s="313"/>
      <c r="BX92" s="313"/>
      <c r="BY92" s="315"/>
    </row>
    <row r="93">
      <c r="BA93" s="313"/>
      <c r="BG93" s="313"/>
      <c r="BX93" s="313"/>
      <c r="BY93" s="315"/>
    </row>
    <row r="94">
      <c r="BA94" s="313"/>
      <c r="BG94" s="313"/>
      <c r="BX94" s="313"/>
      <c r="BY94" s="315"/>
    </row>
    <row r="95">
      <c r="BA95" s="313"/>
      <c r="BG95" s="313"/>
      <c r="BX95" s="313"/>
      <c r="BY95" s="315"/>
    </row>
    <row r="96">
      <c r="BA96" s="313"/>
      <c r="BG96" s="313"/>
      <c r="BX96" s="313"/>
      <c r="BY96" s="315"/>
    </row>
    <row r="97">
      <c r="BA97" s="313"/>
      <c r="BG97" s="313"/>
      <c r="BX97" s="313"/>
      <c r="BY97" s="315"/>
    </row>
    <row r="98">
      <c r="BA98" s="313"/>
      <c r="BG98" s="313"/>
      <c r="BX98" s="313"/>
      <c r="BY98" s="315"/>
    </row>
    <row r="99">
      <c r="BA99" s="313"/>
      <c r="BG99" s="313"/>
      <c r="BX99" s="313"/>
      <c r="BY99" s="315"/>
    </row>
    <row r="100">
      <c r="BA100" s="313"/>
      <c r="BG100" s="313"/>
      <c r="BX100" s="313"/>
      <c r="BY100" s="315"/>
    </row>
    <row r="101">
      <c r="BA101" s="313"/>
      <c r="BG101" s="313"/>
      <c r="BX101" s="313"/>
      <c r="BY101" s="315"/>
    </row>
    <row r="102">
      <c r="BA102" s="313"/>
      <c r="BG102" s="313"/>
      <c r="BX102" s="313"/>
      <c r="BY102" s="315"/>
    </row>
    <row r="103">
      <c r="BA103" s="313"/>
      <c r="BG103" s="313"/>
      <c r="BX103" s="313"/>
      <c r="BY103" s="315"/>
    </row>
    <row r="104">
      <c r="BA104" s="313"/>
      <c r="BG104" s="313"/>
      <c r="BX104" s="313"/>
      <c r="BY104" s="315"/>
    </row>
    <row r="105">
      <c r="BA105" s="313"/>
      <c r="BG105" s="313"/>
      <c r="BX105" s="313"/>
      <c r="BY105" s="315"/>
    </row>
    <row r="106">
      <c r="BA106" s="313"/>
      <c r="BG106" s="313"/>
      <c r="BX106" s="313"/>
      <c r="BY106" s="315"/>
    </row>
    <row r="107">
      <c r="BA107" s="313"/>
      <c r="BG107" s="313"/>
      <c r="BX107" s="313"/>
      <c r="BY107" s="315"/>
    </row>
    <row r="108">
      <c r="BA108" s="313"/>
      <c r="BG108" s="313"/>
      <c r="BX108" s="313"/>
      <c r="BY108" s="315"/>
    </row>
    <row r="109">
      <c r="BA109" s="313"/>
      <c r="BG109" s="313"/>
      <c r="BX109" s="313"/>
      <c r="BY109" s="315"/>
    </row>
    <row r="110">
      <c r="BA110" s="313"/>
      <c r="BG110" s="313"/>
      <c r="BX110" s="313"/>
      <c r="BY110" s="315"/>
    </row>
    <row r="111">
      <c r="BA111" s="313"/>
      <c r="BG111" s="313"/>
      <c r="BX111" s="313"/>
      <c r="BY111" s="315"/>
    </row>
    <row r="112">
      <c r="BA112" s="313"/>
      <c r="BG112" s="313"/>
      <c r="BX112" s="313"/>
      <c r="BY112" s="315"/>
    </row>
    <row r="113">
      <c r="BA113" s="313"/>
      <c r="BG113" s="313"/>
      <c r="BX113" s="313"/>
      <c r="BY113" s="315"/>
    </row>
    <row r="114">
      <c r="BA114" s="313"/>
      <c r="BG114" s="313"/>
      <c r="BX114" s="313"/>
      <c r="BY114" s="315"/>
    </row>
    <row r="115">
      <c r="BA115" s="313"/>
      <c r="BG115" s="313"/>
      <c r="BX115" s="313"/>
      <c r="BY115" s="315"/>
    </row>
    <row r="116">
      <c r="BA116" s="313"/>
      <c r="BG116" s="313"/>
      <c r="BX116" s="313"/>
      <c r="BY116" s="315"/>
    </row>
    <row r="117">
      <c r="BA117" s="313"/>
      <c r="BG117" s="313"/>
      <c r="BX117" s="313"/>
      <c r="BY117" s="315"/>
    </row>
    <row r="118">
      <c r="BA118" s="313"/>
      <c r="BG118" s="313"/>
      <c r="BX118" s="313"/>
      <c r="BY118" s="315"/>
    </row>
    <row r="119">
      <c r="BA119" s="313"/>
      <c r="BG119" s="313"/>
      <c r="BX119" s="313"/>
      <c r="BY119" s="315"/>
    </row>
    <row r="120">
      <c r="BA120" s="313"/>
      <c r="BG120" s="313"/>
      <c r="BX120" s="313"/>
      <c r="BY120" s="315"/>
    </row>
    <row r="121">
      <c r="BA121" s="313"/>
      <c r="BG121" s="313"/>
      <c r="BX121" s="313"/>
      <c r="BY121" s="315"/>
    </row>
    <row r="122">
      <c r="BA122" s="313"/>
      <c r="BG122" s="313"/>
      <c r="BX122" s="313"/>
      <c r="BY122" s="315"/>
    </row>
    <row r="123">
      <c r="BA123" s="313"/>
      <c r="BG123" s="313"/>
      <c r="BX123" s="313"/>
      <c r="BY123" s="315"/>
    </row>
    <row r="124">
      <c r="BA124" s="313"/>
      <c r="BG124" s="313"/>
      <c r="BX124" s="313"/>
      <c r="BY124" s="315"/>
    </row>
    <row r="125">
      <c r="BA125" s="313"/>
      <c r="BG125" s="313"/>
      <c r="BX125" s="313"/>
      <c r="BY125" s="315"/>
    </row>
    <row r="126">
      <c r="BA126" s="313"/>
      <c r="BG126" s="313"/>
      <c r="BX126" s="313"/>
      <c r="BY126" s="315"/>
    </row>
    <row r="127">
      <c r="BA127" s="313"/>
      <c r="BG127" s="313"/>
      <c r="BX127" s="313"/>
      <c r="BY127" s="315"/>
    </row>
    <row r="128">
      <c r="BA128" s="313"/>
      <c r="BG128" s="313"/>
      <c r="BX128" s="313"/>
      <c r="BY128" s="315"/>
    </row>
    <row r="129">
      <c r="BA129" s="313"/>
      <c r="BG129" s="313"/>
      <c r="BX129" s="313"/>
      <c r="BY129" s="315"/>
    </row>
    <row r="130">
      <c r="BA130" s="313"/>
      <c r="BG130" s="313"/>
      <c r="BX130" s="313"/>
      <c r="BY130" s="315"/>
    </row>
    <row r="131">
      <c r="BA131" s="313"/>
      <c r="BG131" s="313"/>
      <c r="BX131" s="313"/>
      <c r="BY131" s="315"/>
    </row>
    <row r="132">
      <c r="BA132" s="313"/>
      <c r="BG132" s="313"/>
      <c r="BX132" s="313"/>
      <c r="BY132" s="315"/>
    </row>
    <row r="133">
      <c r="BA133" s="313"/>
      <c r="BG133" s="313"/>
      <c r="BX133" s="313"/>
      <c r="BY133" s="315"/>
    </row>
    <row r="134">
      <c r="BA134" s="313"/>
      <c r="BG134" s="313"/>
      <c r="BX134" s="313"/>
      <c r="BY134" s="315"/>
    </row>
    <row r="135">
      <c r="BA135" s="313"/>
      <c r="BG135" s="313"/>
      <c r="BX135" s="313"/>
      <c r="BY135" s="315"/>
    </row>
    <row r="136">
      <c r="BA136" s="313"/>
      <c r="BG136" s="313"/>
      <c r="BX136" s="313"/>
      <c r="BY136" s="315"/>
    </row>
    <row r="137">
      <c r="BA137" s="313"/>
      <c r="BG137" s="313"/>
      <c r="BX137" s="313"/>
      <c r="BY137" s="315"/>
    </row>
    <row r="138">
      <c r="BA138" s="313"/>
      <c r="BG138" s="313"/>
      <c r="BX138" s="313"/>
      <c r="BY138" s="315"/>
    </row>
    <row r="139">
      <c r="BA139" s="313"/>
      <c r="BG139" s="313"/>
      <c r="BX139" s="313"/>
      <c r="BY139" s="315"/>
    </row>
    <row r="140">
      <c r="BA140" s="313"/>
      <c r="BG140" s="313"/>
      <c r="BX140" s="313"/>
      <c r="BY140" s="315"/>
    </row>
    <row r="141">
      <c r="BA141" s="313"/>
      <c r="BG141" s="313"/>
      <c r="BX141" s="313"/>
      <c r="BY141" s="315"/>
    </row>
    <row r="142">
      <c r="BA142" s="313"/>
      <c r="BG142" s="313"/>
      <c r="BX142" s="313"/>
      <c r="BY142" s="315"/>
    </row>
    <row r="143">
      <c r="BA143" s="313"/>
      <c r="BG143" s="313"/>
      <c r="BX143" s="313"/>
      <c r="BY143" s="315"/>
    </row>
    <row r="144">
      <c r="BA144" s="313"/>
      <c r="BG144" s="313"/>
      <c r="BX144" s="313"/>
      <c r="BY144" s="315"/>
    </row>
    <row r="145">
      <c r="BA145" s="313"/>
      <c r="BG145" s="313"/>
      <c r="BX145" s="313"/>
      <c r="BY145" s="315"/>
    </row>
    <row r="146">
      <c r="BA146" s="313"/>
      <c r="BG146" s="313"/>
      <c r="BX146" s="313"/>
      <c r="BY146" s="315"/>
    </row>
    <row r="147">
      <c r="BA147" s="313"/>
      <c r="BG147" s="313"/>
      <c r="BX147" s="313"/>
      <c r="BY147" s="315"/>
    </row>
    <row r="148">
      <c r="BA148" s="313"/>
      <c r="BG148" s="313"/>
      <c r="BX148" s="313"/>
      <c r="BY148" s="315"/>
    </row>
    <row r="149">
      <c r="BA149" s="313"/>
      <c r="BG149" s="313"/>
      <c r="BX149" s="313"/>
      <c r="BY149" s="315"/>
    </row>
    <row r="150">
      <c r="BA150" s="313"/>
      <c r="BG150" s="313"/>
      <c r="BX150" s="313"/>
      <c r="BY150" s="315"/>
    </row>
    <row r="151">
      <c r="BA151" s="313"/>
      <c r="BG151" s="313"/>
      <c r="BX151" s="313"/>
      <c r="BY151" s="315"/>
    </row>
    <row r="152">
      <c r="BA152" s="313"/>
      <c r="BG152" s="313"/>
      <c r="BX152" s="313"/>
      <c r="BY152" s="315"/>
    </row>
    <row r="153">
      <c r="BA153" s="313"/>
      <c r="BG153" s="313"/>
      <c r="BX153" s="313"/>
      <c r="BY153" s="315"/>
    </row>
    <row r="154">
      <c r="BA154" s="313"/>
      <c r="BG154" s="313"/>
      <c r="BX154" s="313"/>
      <c r="BY154" s="315"/>
    </row>
    <row r="155">
      <c r="BA155" s="313"/>
      <c r="BG155" s="313"/>
      <c r="BX155" s="313"/>
      <c r="BY155" s="315"/>
    </row>
    <row r="156">
      <c r="BA156" s="313"/>
      <c r="BG156" s="313"/>
      <c r="BX156" s="313"/>
      <c r="BY156" s="315"/>
    </row>
    <row r="157">
      <c r="BA157" s="313"/>
      <c r="BG157" s="313"/>
      <c r="BX157" s="313"/>
      <c r="BY157" s="315"/>
    </row>
    <row r="158">
      <c r="BA158" s="313"/>
      <c r="BG158" s="313"/>
      <c r="BX158" s="313"/>
      <c r="BY158" s="315"/>
    </row>
    <row r="159">
      <c r="BA159" s="313"/>
      <c r="BG159" s="313"/>
      <c r="BX159" s="313"/>
      <c r="BY159" s="315"/>
    </row>
    <row r="160">
      <c r="BA160" s="313"/>
      <c r="BG160" s="313"/>
      <c r="BX160" s="313"/>
      <c r="BY160" s="315"/>
    </row>
    <row r="161">
      <c r="BA161" s="313"/>
      <c r="BG161" s="313"/>
      <c r="BX161" s="313"/>
      <c r="BY161" s="315"/>
    </row>
    <row r="162">
      <c r="BA162" s="313"/>
      <c r="BG162" s="313"/>
      <c r="BX162" s="313"/>
      <c r="BY162" s="315"/>
    </row>
    <row r="163">
      <c r="BA163" s="313"/>
      <c r="BG163" s="313"/>
      <c r="BX163" s="313"/>
      <c r="BY163" s="315"/>
    </row>
    <row r="164">
      <c r="BA164" s="313"/>
      <c r="BG164" s="313"/>
      <c r="BX164" s="313"/>
      <c r="BY164" s="315"/>
    </row>
    <row r="165">
      <c r="BA165" s="313"/>
      <c r="BG165" s="313"/>
      <c r="BX165" s="313"/>
      <c r="BY165" s="315"/>
    </row>
    <row r="166">
      <c r="BA166" s="313"/>
      <c r="BG166" s="313"/>
      <c r="BX166" s="313"/>
      <c r="BY166" s="315"/>
    </row>
    <row r="167">
      <c r="BA167" s="313"/>
      <c r="BG167" s="313"/>
      <c r="BX167" s="313"/>
      <c r="BY167" s="315"/>
    </row>
    <row r="168">
      <c r="BA168" s="313"/>
      <c r="BG168" s="313"/>
      <c r="BX168" s="313"/>
      <c r="BY168" s="315"/>
    </row>
    <row r="169">
      <c r="BA169" s="313"/>
      <c r="BG169" s="313"/>
      <c r="BX169" s="313"/>
      <c r="BY169" s="315"/>
    </row>
    <row r="170">
      <c r="BA170" s="313"/>
      <c r="BG170" s="313"/>
      <c r="BX170" s="313"/>
      <c r="BY170" s="315"/>
    </row>
    <row r="171">
      <c r="BA171" s="313"/>
      <c r="BG171" s="313"/>
      <c r="BX171" s="313"/>
      <c r="BY171" s="315"/>
    </row>
    <row r="172">
      <c r="BA172" s="313"/>
      <c r="BG172" s="313"/>
      <c r="BX172" s="313"/>
      <c r="BY172" s="315"/>
    </row>
    <row r="173">
      <c r="BA173" s="313"/>
      <c r="BG173" s="313"/>
      <c r="BX173" s="313"/>
      <c r="BY173" s="315"/>
    </row>
    <row r="174">
      <c r="BA174" s="313"/>
      <c r="BG174" s="313"/>
      <c r="BX174" s="313"/>
      <c r="BY174" s="315"/>
    </row>
    <row r="175">
      <c r="BA175" s="313"/>
      <c r="BG175" s="313"/>
      <c r="BX175" s="313"/>
      <c r="BY175" s="315"/>
    </row>
    <row r="176">
      <c r="BA176" s="313"/>
      <c r="BG176" s="313"/>
      <c r="BX176" s="313"/>
      <c r="BY176" s="315"/>
    </row>
    <row r="177">
      <c r="BA177" s="313"/>
      <c r="BG177" s="313"/>
      <c r="BX177" s="313"/>
      <c r="BY177" s="315"/>
    </row>
    <row r="178">
      <c r="BA178" s="313"/>
      <c r="BG178" s="313"/>
      <c r="BX178" s="313"/>
      <c r="BY178" s="315"/>
    </row>
    <row r="179">
      <c r="BA179" s="313"/>
      <c r="BG179" s="313"/>
      <c r="BX179" s="313"/>
      <c r="BY179" s="315"/>
    </row>
    <row r="180">
      <c r="BA180" s="313"/>
      <c r="BG180" s="313"/>
      <c r="BX180" s="313"/>
      <c r="BY180" s="315"/>
    </row>
    <row r="181">
      <c r="BA181" s="313"/>
      <c r="BG181" s="313"/>
      <c r="BX181" s="313"/>
      <c r="BY181" s="315"/>
    </row>
    <row r="182">
      <c r="BA182" s="313"/>
      <c r="BG182" s="313"/>
      <c r="BX182" s="313"/>
      <c r="BY182" s="315"/>
    </row>
    <row r="183">
      <c r="BA183" s="313"/>
      <c r="BG183" s="313"/>
      <c r="BX183" s="313"/>
      <c r="BY183" s="315"/>
    </row>
    <row r="184">
      <c r="BA184" s="313"/>
      <c r="BG184" s="313"/>
      <c r="BX184" s="313"/>
      <c r="BY184" s="315"/>
    </row>
    <row r="185">
      <c r="BA185" s="313"/>
      <c r="BG185" s="313"/>
      <c r="BX185" s="313"/>
      <c r="BY185" s="315"/>
    </row>
    <row r="186">
      <c r="BA186" s="313"/>
      <c r="BG186" s="313"/>
      <c r="BX186" s="313"/>
      <c r="BY186" s="315"/>
    </row>
    <row r="187">
      <c r="BA187" s="313"/>
      <c r="BG187" s="313"/>
      <c r="BX187" s="313"/>
      <c r="BY187" s="315"/>
    </row>
    <row r="188">
      <c r="BA188" s="313"/>
      <c r="BG188" s="313"/>
      <c r="BX188" s="313"/>
      <c r="BY188" s="315"/>
    </row>
    <row r="189">
      <c r="BA189" s="313"/>
      <c r="BG189" s="313"/>
      <c r="BX189" s="313"/>
      <c r="BY189" s="315"/>
    </row>
    <row r="190">
      <c r="BA190" s="313"/>
      <c r="BG190" s="313"/>
      <c r="BX190" s="313"/>
      <c r="BY190" s="315"/>
    </row>
    <row r="191">
      <c r="BA191" s="313"/>
      <c r="BG191" s="313"/>
      <c r="BX191" s="313"/>
      <c r="BY191" s="315"/>
    </row>
    <row r="192">
      <c r="BA192" s="313"/>
      <c r="BG192" s="313"/>
      <c r="BX192" s="313"/>
      <c r="BY192" s="315"/>
    </row>
    <row r="193">
      <c r="BA193" s="313"/>
      <c r="BG193" s="313"/>
      <c r="BX193" s="313"/>
      <c r="BY193" s="315"/>
    </row>
    <row r="194">
      <c r="BA194" s="313"/>
      <c r="BG194" s="313"/>
      <c r="BX194" s="313"/>
      <c r="BY194" s="315"/>
    </row>
    <row r="195">
      <c r="BA195" s="313"/>
      <c r="BG195" s="313"/>
      <c r="BX195" s="313"/>
      <c r="BY195" s="315"/>
    </row>
    <row r="196">
      <c r="BA196" s="313"/>
      <c r="BG196" s="313"/>
      <c r="BX196" s="313"/>
      <c r="BY196" s="315"/>
    </row>
    <row r="197">
      <c r="BA197" s="313"/>
      <c r="BG197" s="313"/>
      <c r="BX197" s="313"/>
      <c r="BY197" s="315"/>
    </row>
    <row r="198">
      <c r="BA198" s="313"/>
      <c r="BG198" s="313"/>
      <c r="BX198" s="313"/>
      <c r="BY198" s="315"/>
    </row>
    <row r="199">
      <c r="BA199" s="313"/>
      <c r="BG199" s="313"/>
      <c r="BX199" s="313"/>
      <c r="BY199" s="315"/>
    </row>
    <row r="200">
      <c r="BA200" s="313"/>
      <c r="BG200" s="313"/>
      <c r="BX200" s="313"/>
      <c r="BY200" s="315"/>
    </row>
    <row r="201">
      <c r="BA201" s="313"/>
      <c r="BG201" s="313"/>
      <c r="BX201" s="313"/>
      <c r="BY201" s="315"/>
    </row>
    <row r="202">
      <c r="BA202" s="313"/>
      <c r="BG202" s="313"/>
      <c r="BX202" s="313"/>
      <c r="BY202" s="315"/>
    </row>
    <row r="203">
      <c r="BA203" s="313"/>
      <c r="BG203" s="313"/>
      <c r="BX203" s="313"/>
      <c r="BY203" s="315"/>
    </row>
    <row r="204">
      <c r="BA204" s="313"/>
      <c r="BG204" s="313"/>
      <c r="BX204" s="313"/>
      <c r="BY204" s="315"/>
    </row>
    <row r="205">
      <c r="BA205" s="313"/>
      <c r="BG205" s="313"/>
      <c r="BX205" s="313"/>
      <c r="BY205" s="315"/>
    </row>
    <row r="206">
      <c r="BA206" s="313"/>
      <c r="BG206" s="313"/>
      <c r="BX206" s="313"/>
      <c r="BY206" s="315"/>
    </row>
    <row r="207">
      <c r="BA207" s="313"/>
      <c r="BG207" s="313"/>
      <c r="BX207" s="313"/>
      <c r="BY207" s="315"/>
    </row>
    <row r="208">
      <c r="BA208" s="313"/>
      <c r="BG208" s="313"/>
      <c r="BX208" s="313"/>
      <c r="BY208" s="315"/>
    </row>
    <row r="209">
      <c r="BA209" s="313"/>
      <c r="BG209" s="313"/>
      <c r="BX209" s="313"/>
      <c r="BY209" s="315"/>
    </row>
    <row r="210">
      <c r="BA210" s="313"/>
      <c r="BG210" s="313"/>
      <c r="BX210" s="313"/>
      <c r="BY210" s="315"/>
    </row>
    <row r="211">
      <c r="BA211" s="313"/>
      <c r="BG211" s="313"/>
      <c r="BX211" s="313"/>
      <c r="BY211" s="315"/>
    </row>
    <row r="212">
      <c r="BA212" s="313"/>
      <c r="BG212" s="313"/>
      <c r="BX212" s="313"/>
      <c r="BY212" s="315"/>
    </row>
    <row r="213">
      <c r="BA213" s="313"/>
      <c r="BG213" s="313"/>
      <c r="BX213" s="313"/>
      <c r="BY213" s="315"/>
    </row>
    <row r="214">
      <c r="BA214" s="313"/>
      <c r="BG214" s="313"/>
      <c r="BX214" s="313"/>
      <c r="BY214" s="315"/>
    </row>
    <row r="215">
      <c r="BA215" s="313"/>
      <c r="BG215" s="313"/>
      <c r="BX215" s="313"/>
      <c r="BY215" s="315"/>
    </row>
    <row r="216">
      <c r="BA216" s="313"/>
      <c r="BG216" s="313"/>
      <c r="BX216" s="313"/>
      <c r="BY216" s="315"/>
    </row>
    <row r="217">
      <c r="BA217" s="313"/>
      <c r="BG217" s="313"/>
      <c r="BX217" s="313"/>
      <c r="BY217" s="315"/>
    </row>
    <row r="218">
      <c r="BA218" s="313"/>
      <c r="BG218" s="313"/>
      <c r="BX218" s="313"/>
      <c r="BY218" s="315"/>
    </row>
    <row r="219">
      <c r="BA219" s="313"/>
      <c r="BG219" s="313"/>
      <c r="BX219" s="313"/>
      <c r="BY219" s="315"/>
    </row>
    <row r="220">
      <c r="BA220" s="313"/>
      <c r="BG220" s="313"/>
      <c r="BX220" s="313"/>
      <c r="BY220" s="315"/>
    </row>
    <row r="221">
      <c r="BA221" s="313"/>
      <c r="BG221" s="313"/>
      <c r="BX221" s="313"/>
      <c r="BY221" s="315"/>
    </row>
    <row r="222">
      <c r="BA222" s="313"/>
      <c r="BG222" s="313"/>
      <c r="BX222" s="313"/>
      <c r="BY222" s="315"/>
    </row>
    <row r="223">
      <c r="BA223" s="313"/>
      <c r="BG223" s="313"/>
      <c r="BX223" s="313"/>
      <c r="BY223" s="315"/>
    </row>
    <row r="224">
      <c r="BA224" s="313"/>
      <c r="BG224" s="313"/>
      <c r="BX224" s="313"/>
      <c r="BY224" s="315"/>
    </row>
    <row r="225">
      <c r="BA225" s="313"/>
      <c r="BG225" s="313"/>
      <c r="BX225" s="313"/>
      <c r="BY225" s="315"/>
    </row>
    <row r="226">
      <c r="BA226" s="313"/>
      <c r="BG226" s="313"/>
      <c r="BX226" s="313"/>
      <c r="BY226" s="315"/>
    </row>
    <row r="227">
      <c r="BA227" s="313"/>
      <c r="BG227" s="313"/>
      <c r="BX227" s="313"/>
      <c r="BY227" s="315"/>
    </row>
    <row r="228">
      <c r="BA228" s="313"/>
      <c r="BG228" s="313"/>
      <c r="BX228" s="313"/>
      <c r="BY228" s="315"/>
    </row>
    <row r="229">
      <c r="BA229" s="313"/>
      <c r="BG229" s="313"/>
      <c r="BX229" s="313"/>
      <c r="BY229" s="315"/>
    </row>
    <row r="230">
      <c r="BA230" s="313"/>
      <c r="BG230" s="313"/>
      <c r="BX230" s="313"/>
      <c r="BY230" s="315"/>
    </row>
    <row r="231">
      <c r="BA231" s="313"/>
      <c r="BG231" s="313"/>
      <c r="BX231" s="313"/>
      <c r="BY231" s="315"/>
    </row>
    <row r="232">
      <c r="BA232" s="313"/>
      <c r="BG232" s="313"/>
      <c r="BX232" s="313"/>
      <c r="BY232" s="315"/>
    </row>
    <row r="233">
      <c r="BA233" s="313"/>
      <c r="BG233" s="313"/>
      <c r="BX233" s="313"/>
      <c r="BY233" s="315"/>
    </row>
    <row r="234">
      <c r="BA234" s="313"/>
      <c r="BG234" s="313"/>
      <c r="BX234" s="313"/>
      <c r="BY234" s="315"/>
    </row>
    <row r="235">
      <c r="BA235" s="313"/>
      <c r="BG235" s="313"/>
      <c r="BX235" s="313"/>
      <c r="BY235" s="315"/>
    </row>
    <row r="236">
      <c r="BA236" s="313"/>
      <c r="BG236" s="313"/>
      <c r="BX236" s="313"/>
      <c r="BY236" s="315"/>
    </row>
    <row r="237">
      <c r="BA237" s="313"/>
      <c r="BG237" s="313"/>
      <c r="BX237" s="313"/>
      <c r="BY237" s="315"/>
    </row>
    <row r="238">
      <c r="BA238" s="313"/>
      <c r="BG238" s="313"/>
      <c r="BX238" s="313"/>
      <c r="BY238" s="315"/>
    </row>
    <row r="239">
      <c r="BA239" s="313"/>
      <c r="BG239" s="313"/>
      <c r="BX239" s="313"/>
      <c r="BY239" s="315"/>
    </row>
    <row r="240">
      <c r="BA240" s="313"/>
      <c r="BG240" s="313"/>
      <c r="BX240" s="313"/>
      <c r="BY240" s="315"/>
    </row>
    <row r="241">
      <c r="BA241" s="313"/>
      <c r="BG241" s="313"/>
      <c r="BX241" s="313"/>
      <c r="BY241" s="315"/>
    </row>
    <row r="242">
      <c r="BA242" s="313"/>
      <c r="BG242" s="313"/>
      <c r="BX242" s="313"/>
      <c r="BY242" s="315"/>
    </row>
    <row r="243">
      <c r="BA243" s="313"/>
      <c r="BG243" s="313"/>
      <c r="BX243" s="313"/>
      <c r="BY243" s="315"/>
    </row>
    <row r="244">
      <c r="BA244" s="313"/>
      <c r="BG244" s="313"/>
      <c r="BX244" s="313"/>
      <c r="BY244" s="315"/>
    </row>
    <row r="245">
      <c r="BA245" s="313"/>
      <c r="BG245" s="313"/>
      <c r="BX245" s="313"/>
      <c r="BY245" s="315"/>
    </row>
    <row r="246">
      <c r="BA246" s="313"/>
      <c r="BG246" s="313"/>
      <c r="BX246" s="313"/>
      <c r="BY246" s="315"/>
    </row>
    <row r="247">
      <c r="BA247" s="313"/>
      <c r="BG247" s="313"/>
      <c r="BX247" s="313"/>
      <c r="BY247" s="315"/>
    </row>
    <row r="248">
      <c r="BA248" s="313"/>
      <c r="BG248" s="313"/>
      <c r="BX248" s="313"/>
      <c r="BY248" s="315"/>
    </row>
    <row r="249">
      <c r="BA249" s="313"/>
      <c r="BG249" s="313"/>
      <c r="BX249" s="313"/>
      <c r="BY249" s="315"/>
    </row>
    <row r="250">
      <c r="BA250" s="313"/>
      <c r="BG250" s="313"/>
      <c r="BX250" s="313"/>
      <c r="BY250" s="315"/>
    </row>
    <row r="251">
      <c r="BA251" s="313"/>
      <c r="BG251" s="313"/>
      <c r="BX251" s="313"/>
      <c r="BY251" s="315"/>
    </row>
    <row r="252">
      <c r="BA252" s="313"/>
      <c r="BG252" s="313"/>
      <c r="BX252" s="313"/>
      <c r="BY252" s="315"/>
    </row>
    <row r="253">
      <c r="BA253" s="313"/>
      <c r="BG253" s="313"/>
      <c r="BX253" s="313"/>
      <c r="BY253" s="315"/>
    </row>
    <row r="254">
      <c r="BA254" s="313"/>
      <c r="BG254" s="313"/>
      <c r="BX254" s="313"/>
      <c r="BY254" s="315"/>
    </row>
    <row r="255">
      <c r="BA255" s="313"/>
      <c r="BG255" s="313"/>
      <c r="BX255" s="313"/>
      <c r="BY255" s="315"/>
    </row>
    <row r="256">
      <c r="BA256" s="313"/>
      <c r="BG256" s="313"/>
      <c r="BX256" s="313"/>
      <c r="BY256" s="315"/>
    </row>
    <row r="257">
      <c r="BA257" s="313"/>
      <c r="BG257" s="313"/>
      <c r="BX257" s="313"/>
      <c r="BY257" s="315"/>
    </row>
    <row r="258">
      <c r="BA258" s="313"/>
      <c r="BG258" s="313"/>
      <c r="BX258" s="313"/>
      <c r="BY258" s="315"/>
    </row>
    <row r="259">
      <c r="BA259" s="313"/>
      <c r="BG259" s="313"/>
      <c r="BX259" s="313"/>
      <c r="BY259" s="315"/>
    </row>
    <row r="260">
      <c r="BA260" s="313"/>
      <c r="BG260" s="313"/>
      <c r="BX260" s="313"/>
      <c r="BY260" s="315"/>
    </row>
    <row r="261">
      <c r="BA261" s="313"/>
      <c r="BG261" s="313"/>
      <c r="BX261" s="313"/>
      <c r="BY261" s="315"/>
    </row>
    <row r="262">
      <c r="BA262" s="313"/>
      <c r="BG262" s="313"/>
      <c r="BX262" s="313"/>
      <c r="BY262" s="315"/>
    </row>
    <row r="263">
      <c r="BA263" s="313"/>
      <c r="BG263" s="313"/>
      <c r="BX263" s="313"/>
      <c r="BY263" s="315"/>
    </row>
    <row r="264">
      <c r="BA264" s="313"/>
      <c r="BG264" s="313"/>
      <c r="BX264" s="313"/>
      <c r="BY264" s="315"/>
    </row>
    <row r="265">
      <c r="BA265" s="313"/>
      <c r="BG265" s="313"/>
      <c r="BX265" s="313"/>
      <c r="BY265" s="315"/>
    </row>
    <row r="266">
      <c r="BA266" s="313"/>
      <c r="BG266" s="313"/>
      <c r="BX266" s="313"/>
      <c r="BY266" s="315"/>
    </row>
    <row r="267">
      <c r="BA267" s="313"/>
      <c r="BG267" s="313"/>
      <c r="BX267" s="313"/>
      <c r="BY267" s="315"/>
    </row>
    <row r="268">
      <c r="BA268" s="313"/>
      <c r="BG268" s="313"/>
      <c r="BX268" s="313"/>
      <c r="BY268" s="315"/>
    </row>
    <row r="269">
      <c r="BA269" s="313"/>
      <c r="BG269" s="313"/>
      <c r="BX269" s="313"/>
      <c r="BY269" s="315"/>
    </row>
    <row r="270">
      <c r="BA270" s="313"/>
      <c r="BG270" s="313"/>
      <c r="BX270" s="313"/>
      <c r="BY270" s="315"/>
    </row>
    <row r="271">
      <c r="BA271" s="313"/>
      <c r="BG271" s="313"/>
      <c r="BX271" s="313"/>
      <c r="BY271" s="315"/>
    </row>
    <row r="272">
      <c r="BA272" s="313"/>
      <c r="BG272" s="313"/>
      <c r="BX272" s="313"/>
      <c r="BY272" s="315"/>
    </row>
    <row r="273">
      <c r="BA273" s="313"/>
      <c r="BG273" s="313"/>
      <c r="BX273" s="313"/>
      <c r="BY273" s="315"/>
    </row>
    <row r="274">
      <c r="BA274" s="313"/>
      <c r="BG274" s="313"/>
      <c r="BX274" s="313"/>
      <c r="BY274" s="315"/>
    </row>
    <row r="275">
      <c r="BA275" s="313"/>
      <c r="BG275" s="313"/>
      <c r="BX275" s="313"/>
      <c r="BY275" s="315"/>
    </row>
    <row r="276">
      <c r="BA276" s="313"/>
      <c r="BG276" s="313"/>
      <c r="BX276" s="313"/>
      <c r="BY276" s="315"/>
    </row>
    <row r="277">
      <c r="BA277" s="313"/>
      <c r="BG277" s="313"/>
      <c r="BX277" s="313"/>
      <c r="BY277" s="315"/>
    </row>
    <row r="278">
      <c r="BA278" s="313"/>
      <c r="BG278" s="313"/>
      <c r="BX278" s="313"/>
      <c r="BY278" s="315"/>
    </row>
    <row r="279">
      <c r="BA279" s="313"/>
      <c r="BG279" s="313"/>
      <c r="BX279" s="313"/>
      <c r="BY279" s="315"/>
    </row>
    <row r="280">
      <c r="BA280" s="313"/>
      <c r="BG280" s="313"/>
      <c r="BX280" s="313"/>
      <c r="BY280" s="315"/>
    </row>
    <row r="281">
      <c r="BA281" s="313"/>
      <c r="BG281" s="313"/>
      <c r="BX281" s="313"/>
      <c r="BY281" s="315"/>
    </row>
    <row r="282">
      <c r="BA282" s="313"/>
      <c r="BG282" s="313"/>
      <c r="BX282" s="313"/>
      <c r="BY282" s="315"/>
    </row>
    <row r="283">
      <c r="BA283" s="313"/>
      <c r="BG283" s="313"/>
      <c r="BX283" s="313"/>
      <c r="BY283" s="315"/>
    </row>
    <row r="284">
      <c r="BA284" s="313"/>
      <c r="BG284" s="313"/>
      <c r="BX284" s="313"/>
      <c r="BY284" s="315"/>
    </row>
    <row r="285">
      <c r="BA285" s="313"/>
      <c r="BG285" s="313"/>
      <c r="BX285" s="313"/>
      <c r="BY285" s="315"/>
    </row>
    <row r="286">
      <c r="BA286" s="313"/>
      <c r="BG286" s="313"/>
      <c r="BX286" s="313"/>
      <c r="BY286" s="315"/>
    </row>
    <row r="287">
      <c r="BA287" s="313"/>
      <c r="BG287" s="313"/>
      <c r="BX287" s="313"/>
      <c r="BY287" s="315"/>
    </row>
    <row r="288">
      <c r="BA288" s="313"/>
      <c r="BG288" s="313"/>
      <c r="BX288" s="313"/>
      <c r="BY288" s="315"/>
    </row>
    <row r="289">
      <c r="BA289" s="313"/>
      <c r="BG289" s="313"/>
      <c r="BX289" s="313"/>
      <c r="BY289" s="315"/>
    </row>
    <row r="290">
      <c r="BA290" s="313"/>
      <c r="BG290" s="313"/>
      <c r="BX290" s="313"/>
      <c r="BY290" s="315"/>
    </row>
    <row r="291">
      <c r="BA291" s="313"/>
      <c r="BG291" s="313"/>
      <c r="BX291" s="313"/>
      <c r="BY291" s="315"/>
    </row>
    <row r="292">
      <c r="BA292" s="313"/>
      <c r="BG292" s="313"/>
      <c r="BX292" s="313"/>
      <c r="BY292" s="315"/>
    </row>
    <row r="293">
      <c r="BA293" s="313"/>
      <c r="BG293" s="313"/>
      <c r="BX293" s="313"/>
      <c r="BY293" s="315"/>
    </row>
    <row r="294">
      <c r="BA294" s="313"/>
      <c r="BG294" s="313"/>
      <c r="BX294" s="313"/>
      <c r="BY294" s="315"/>
    </row>
    <row r="295">
      <c r="BA295" s="313"/>
      <c r="BG295" s="313"/>
      <c r="BX295" s="313"/>
      <c r="BY295" s="315"/>
    </row>
    <row r="296">
      <c r="BA296" s="313"/>
      <c r="BG296" s="313"/>
      <c r="BX296" s="313"/>
      <c r="BY296" s="315"/>
    </row>
    <row r="297">
      <c r="BA297" s="313"/>
      <c r="BG297" s="313"/>
      <c r="BX297" s="313"/>
      <c r="BY297" s="315"/>
    </row>
    <row r="298">
      <c r="BA298" s="313"/>
      <c r="BG298" s="313"/>
      <c r="BX298" s="313"/>
      <c r="BY298" s="315"/>
    </row>
    <row r="299">
      <c r="BA299" s="313"/>
      <c r="BG299" s="313"/>
      <c r="BX299" s="313"/>
      <c r="BY299" s="315"/>
    </row>
    <row r="300">
      <c r="BA300" s="313"/>
      <c r="BG300" s="313"/>
      <c r="BX300" s="313"/>
      <c r="BY300" s="315"/>
    </row>
    <row r="301">
      <c r="BA301" s="313"/>
      <c r="BG301" s="313"/>
      <c r="BX301" s="313"/>
      <c r="BY301" s="315"/>
    </row>
    <row r="302">
      <c r="BA302" s="313"/>
      <c r="BG302" s="313"/>
      <c r="BX302" s="313"/>
      <c r="BY302" s="315"/>
    </row>
    <row r="303">
      <c r="BA303" s="313"/>
      <c r="BG303" s="313"/>
      <c r="BX303" s="313"/>
      <c r="BY303" s="315"/>
    </row>
    <row r="304">
      <c r="BA304" s="313"/>
      <c r="BG304" s="313"/>
      <c r="BX304" s="313"/>
      <c r="BY304" s="315"/>
    </row>
    <row r="305">
      <c r="BA305" s="313"/>
      <c r="BG305" s="313"/>
      <c r="BX305" s="313"/>
      <c r="BY305" s="315"/>
    </row>
    <row r="306">
      <c r="BA306" s="313"/>
      <c r="BG306" s="313"/>
      <c r="BX306" s="313"/>
      <c r="BY306" s="315"/>
    </row>
    <row r="307">
      <c r="BA307" s="313"/>
      <c r="BG307" s="313"/>
      <c r="BX307" s="313"/>
      <c r="BY307" s="315"/>
    </row>
    <row r="308">
      <c r="BA308" s="313"/>
      <c r="BG308" s="313"/>
      <c r="BX308" s="313"/>
      <c r="BY308" s="315"/>
    </row>
    <row r="309">
      <c r="BA309" s="313"/>
      <c r="BG309" s="313"/>
      <c r="BX309" s="313"/>
      <c r="BY309" s="315"/>
    </row>
    <row r="310">
      <c r="BA310" s="313"/>
      <c r="BG310" s="313"/>
      <c r="BX310" s="313"/>
      <c r="BY310" s="315"/>
    </row>
    <row r="311">
      <c r="BA311" s="313"/>
      <c r="BG311" s="313"/>
      <c r="BX311" s="313"/>
      <c r="BY311" s="315"/>
    </row>
    <row r="312">
      <c r="BA312" s="313"/>
      <c r="BG312" s="313"/>
      <c r="BX312" s="313"/>
      <c r="BY312" s="315"/>
    </row>
    <row r="313">
      <c r="BA313" s="313"/>
      <c r="BG313" s="313"/>
      <c r="BX313" s="313"/>
      <c r="BY313" s="315"/>
    </row>
    <row r="314">
      <c r="BA314" s="313"/>
      <c r="BG314" s="313"/>
      <c r="BX314" s="313"/>
      <c r="BY314" s="315"/>
    </row>
    <row r="315">
      <c r="BA315" s="313"/>
      <c r="BG315" s="313"/>
      <c r="BX315" s="313"/>
      <c r="BY315" s="315"/>
    </row>
    <row r="316">
      <c r="BA316" s="313"/>
      <c r="BG316" s="313"/>
      <c r="BX316" s="313"/>
      <c r="BY316" s="315"/>
    </row>
    <row r="317">
      <c r="BA317" s="313"/>
      <c r="BG317" s="313"/>
      <c r="BX317" s="313"/>
      <c r="BY317" s="315"/>
    </row>
    <row r="318">
      <c r="BA318" s="313"/>
      <c r="BG318" s="313"/>
      <c r="BX318" s="313"/>
      <c r="BY318" s="315"/>
    </row>
    <row r="319">
      <c r="BA319" s="313"/>
      <c r="BG319" s="313"/>
      <c r="BX319" s="313"/>
      <c r="BY319" s="315"/>
    </row>
    <row r="320">
      <c r="BA320" s="313"/>
      <c r="BG320" s="313"/>
      <c r="BX320" s="313"/>
      <c r="BY320" s="315"/>
    </row>
    <row r="321">
      <c r="BA321" s="313"/>
      <c r="BG321" s="313"/>
      <c r="BX321" s="313"/>
      <c r="BY321" s="315"/>
    </row>
    <row r="322">
      <c r="BA322" s="313"/>
      <c r="BG322" s="313"/>
      <c r="BX322" s="313"/>
      <c r="BY322" s="315"/>
    </row>
    <row r="323">
      <c r="BA323" s="313"/>
      <c r="BG323" s="313"/>
      <c r="BX323" s="313"/>
      <c r="BY323" s="315"/>
    </row>
    <row r="324">
      <c r="BA324" s="313"/>
      <c r="BG324" s="313"/>
      <c r="BX324" s="313"/>
      <c r="BY324" s="315"/>
    </row>
    <row r="325">
      <c r="BA325" s="313"/>
      <c r="BG325" s="313"/>
      <c r="BX325" s="313"/>
      <c r="BY325" s="315"/>
    </row>
    <row r="326">
      <c r="BA326" s="313"/>
      <c r="BG326" s="313"/>
      <c r="BX326" s="313"/>
      <c r="BY326" s="315"/>
    </row>
    <row r="327">
      <c r="BA327" s="313"/>
      <c r="BG327" s="313"/>
      <c r="BX327" s="313"/>
      <c r="BY327" s="315"/>
    </row>
    <row r="328">
      <c r="BA328" s="313"/>
      <c r="BG328" s="313"/>
      <c r="BX328" s="313"/>
      <c r="BY328" s="315"/>
    </row>
    <row r="329">
      <c r="BA329" s="313"/>
      <c r="BG329" s="313"/>
      <c r="BX329" s="313"/>
      <c r="BY329" s="315"/>
    </row>
    <row r="330">
      <c r="BA330" s="313"/>
      <c r="BG330" s="313"/>
      <c r="BX330" s="313"/>
      <c r="BY330" s="315"/>
    </row>
    <row r="331">
      <c r="BA331" s="313"/>
      <c r="BG331" s="313"/>
      <c r="BX331" s="313"/>
      <c r="BY331" s="315"/>
    </row>
    <row r="332">
      <c r="BA332" s="313"/>
      <c r="BG332" s="313"/>
      <c r="BX332" s="313"/>
      <c r="BY332" s="315"/>
    </row>
    <row r="333">
      <c r="BA333" s="313"/>
      <c r="BG333" s="313"/>
      <c r="BX333" s="313"/>
      <c r="BY333" s="315"/>
    </row>
    <row r="334">
      <c r="BA334" s="313"/>
      <c r="BG334" s="313"/>
      <c r="BX334" s="313"/>
      <c r="BY334" s="315"/>
    </row>
    <row r="335">
      <c r="BA335" s="313"/>
      <c r="BG335" s="313"/>
      <c r="BX335" s="313"/>
      <c r="BY335" s="315"/>
    </row>
    <row r="336">
      <c r="BA336" s="313"/>
      <c r="BG336" s="313"/>
      <c r="BX336" s="313"/>
      <c r="BY336" s="315"/>
    </row>
    <row r="337">
      <c r="BA337" s="313"/>
      <c r="BG337" s="313"/>
      <c r="BX337" s="313"/>
      <c r="BY337" s="315"/>
    </row>
    <row r="338">
      <c r="BA338" s="313"/>
      <c r="BG338" s="313"/>
      <c r="BX338" s="313"/>
      <c r="BY338" s="315"/>
    </row>
    <row r="339">
      <c r="BA339" s="313"/>
      <c r="BG339" s="313"/>
      <c r="BX339" s="313"/>
      <c r="BY339" s="315"/>
    </row>
    <row r="340">
      <c r="BA340" s="313"/>
      <c r="BG340" s="313"/>
      <c r="BX340" s="313"/>
      <c r="BY340" s="315"/>
    </row>
    <row r="341">
      <c r="BA341" s="313"/>
      <c r="BG341" s="313"/>
      <c r="BX341" s="313"/>
      <c r="BY341" s="315"/>
    </row>
    <row r="342">
      <c r="BA342" s="313"/>
      <c r="BG342" s="313"/>
      <c r="BX342" s="313"/>
      <c r="BY342" s="315"/>
    </row>
    <row r="343">
      <c r="BA343" s="313"/>
      <c r="BG343" s="313"/>
      <c r="BX343" s="313"/>
      <c r="BY343" s="315"/>
    </row>
    <row r="344">
      <c r="BA344" s="313"/>
      <c r="BG344" s="313"/>
      <c r="BX344" s="313"/>
      <c r="BY344" s="315"/>
    </row>
    <row r="345">
      <c r="BA345" s="313"/>
      <c r="BG345" s="313"/>
      <c r="BX345" s="313"/>
      <c r="BY345" s="315"/>
    </row>
    <row r="346">
      <c r="BA346" s="313"/>
      <c r="BG346" s="313"/>
      <c r="BX346" s="313"/>
      <c r="BY346" s="315"/>
    </row>
    <row r="347">
      <c r="BA347" s="313"/>
      <c r="BG347" s="313"/>
      <c r="BX347" s="313"/>
      <c r="BY347" s="315"/>
    </row>
    <row r="348">
      <c r="BA348" s="313"/>
      <c r="BG348" s="313"/>
      <c r="BX348" s="313"/>
      <c r="BY348" s="315"/>
    </row>
    <row r="349">
      <c r="BA349" s="313"/>
      <c r="BG349" s="313"/>
      <c r="BX349" s="313"/>
      <c r="BY349" s="315"/>
    </row>
    <row r="350">
      <c r="BA350" s="313"/>
      <c r="BG350" s="313"/>
      <c r="BX350" s="313"/>
      <c r="BY350" s="315"/>
    </row>
    <row r="351">
      <c r="BA351" s="313"/>
      <c r="BG351" s="313"/>
      <c r="BX351" s="313"/>
      <c r="BY351" s="315"/>
    </row>
    <row r="352">
      <c r="BA352" s="313"/>
      <c r="BG352" s="313"/>
      <c r="BX352" s="313"/>
      <c r="BY352" s="315"/>
    </row>
    <row r="353">
      <c r="BA353" s="313"/>
      <c r="BG353" s="313"/>
      <c r="BX353" s="313"/>
      <c r="BY353" s="315"/>
    </row>
    <row r="354">
      <c r="BA354" s="313"/>
      <c r="BG354" s="313"/>
      <c r="BX354" s="313"/>
      <c r="BY354" s="315"/>
    </row>
    <row r="355">
      <c r="BA355" s="313"/>
      <c r="BG355" s="313"/>
      <c r="BX355" s="313"/>
      <c r="BY355" s="315"/>
    </row>
    <row r="356">
      <c r="BA356" s="313"/>
      <c r="BG356" s="313"/>
      <c r="BX356" s="313"/>
      <c r="BY356" s="315"/>
    </row>
    <row r="357">
      <c r="BA357" s="313"/>
      <c r="BG357" s="313"/>
      <c r="BX357" s="313"/>
      <c r="BY357" s="315"/>
    </row>
    <row r="358">
      <c r="BA358" s="313"/>
      <c r="BG358" s="313"/>
      <c r="BX358" s="313"/>
      <c r="BY358" s="315"/>
    </row>
    <row r="359">
      <c r="BA359" s="313"/>
      <c r="BG359" s="313"/>
      <c r="BX359" s="313"/>
      <c r="BY359" s="315"/>
    </row>
    <row r="360">
      <c r="BA360" s="313"/>
      <c r="BG360" s="313"/>
      <c r="BX360" s="313"/>
      <c r="BY360" s="315"/>
    </row>
    <row r="361">
      <c r="BA361" s="313"/>
      <c r="BG361" s="313"/>
      <c r="BX361" s="313"/>
      <c r="BY361" s="315"/>
    </row>
    <row r="362">
      <c r="BA362" s="313"/>
      <c r="BG362" s="313"/>
      <c r="BX362" s="313"/>
      <c r="BY362" s="315"/>
    </row>
    <row r="363">
      <c r="BA363" s="313"/>
      <c r="BG363" s="313"/>
      <c r="BX363" s="313"/>
      <c r="BY363" s="315"/>
    </row>
    <row r="364">
      <c r="BA364" s="313"/>
      <c r="BG364" s="313"/>
      <c r="BX364" s="313"/>
      <c r="BY364" s="315"/>
    </row>
    <row r="365">
      <c r="BA365" s="313"/>
      <c r="BG365" s="313"/>
      <c r="BX365" s="313"/>
      <c r="BY365" s="315"/>
    </row>
    <row r="366">
      <c r="BA366" s="313"/>
      <c r="BG366" s="313"/>
      <c r="BX366" s="313"/>
      <c r="BY366" s="315"/>
    </row>
    <row r="367">
      <c r="BA367" s="313"/>
      <c r="BG367" s="313"/>
      <c r="BX367" s="313"/>
      <c r="BY367" s="315"/>
    </row>
    <row r="368">
      <c r="BA368" s="313"/>
      <c r="BG368" s="313"/>
      <c r="BX368" s="313"/>
      <c r="BY368" s="315"/>
    </row>
    <row r="369">
      <c r="BA369" s="313"/>
      <c r="BG369" s="313"/>
      <c r="BX369" s="313"/>
      <c r="BY369" s="315"/>
    </row>
    <row r="370">
      <c r="BA370" s="313"/>
      <c r="BG370" s="313"/>
      <c r="BX370" s="313"/>
      <c r="BY370" s="315"/>
    </row>
    <row r="371">
      <c r="BA371" s="313"/>
      <c r="BG371" s="313"/>
      <c r="BX371" s="313"/>
      <c r="BY371" s="315"/>
    </row>
    <row r="372">
      <c r="BA372" s="313"/>
      <c r="BG372" s="313"/>
      <c r="BX372" s="313"/>
      <c r="BY372" s="315"/>
    </row>
    <row r="373">
      <c r="BA373" s="313"/>
      <c r="BG373" s="313"/>
      <c r="BX373" s="313"/>
      <c r="BY373" s="315"/>
    </row>
    <row r="374">
      <c r="BA374" s="313"/>
      <c r="BG374" s="313"/>
      <c r="BX374" s="313"/>
      <c r="BY374" s="315"/>
    </row>
    <row r="375">
      <c r="BA375" s="313"/>
      <c r="BG375" s="313"/>
      <c r="BX375" s="313"/>
      <c r="BY375" s="315"/>
    </row>
    <row r="376">
      <c r="BA376" s="313"/>
      <c r="BG376" s="313"/>
      <c r="BX376" s="313"/>
      <c r="BY376" s="315"/>
    </row>
    <row r="377">
      <c r="BA377" s="313"/>
      <c r="BG377" s="313"/>
      <c r="BX377" s="313"/>
      <c r="BY377" s="315"/>
    </row>
    <row r="378">
      <c r="BA378" s="313"/>
      <c r="BG378" s="313"/>
      <c r="BX378" s="313"/>
      <c r="BY378" s="315"/>
    </row>
    <row r="379">
      <c r="BA379" s="313"/>
      <c r="BG379" s="313"/>
      <c r="BX379" s="313"/>
      <c r="BY379" s="315"/>
    </row>
    <row r="380">
      <c r="BA380" s="313"/>
      <c r="BG380" s="313"/>
      <c r="BX380" s="313"/>
      <c r="BY380" s="315"/>
    </row>
    <row r="381">
      <c r="BA381" s="313"/>
      <c r="BG381" s="313"/>
      <c r="BX381" s="313"/>
      <c r="BY381" s="315"/>
    </row>
    <row r="382">
      <c r="BA382" s="313"/>
      <c r="BG382" s="313"/>
      <c r="BX382" s="313"/>
      <c r="BY382" s="315"/>
    </row>
    <row r="383">
      <c r="BA383" s="313"/>
      <c r="BG383" s="313"/>
      <c r="BX383" s="313"/>
      <c r="BY383" s="315"/>
    </row>
    <row r="384">
      <c r="BA384" s="313"/>
      <c r="BG384" s="313"/>
      <c r="BX384" s="313"/>
      <c r="BY384" s="315"/>
    </row>
    <row r="385">
      <c r="BA385" s="313"/>
      <c r="BG385" s="313"/>
      <c r="BX385" s="313"/>
      <c r="BY385" s="315"/>
    </row>
    <row r="386">
      <c r="BA386" s="313"/>
      <c r="BG386" s="313"/>
      <c r="BX386" s="313"/>
      <c r="BY386" s="315"/>
    </row>
    <row r="387">
      <c r="BA387" s="313"/>
      <c r="BG387" s="313"/>
      <c r="BX387" s="313"/>
      <c r="BY387" s="315"/>
    </row>
    <row r="388">
      <c r="BA388" s="313"/>
      <c r="BG388" s="313"/>
      <c r="BX388" s="313"/>
      <c r="BY388" s="315"/>
    </row>
    <row r="389">
      <c r="BA389" s="313"/>
      <c r="BG389" s="313"/>
      <c r="BX389" s="313"/>
      <c r="BY389" s="315"/>
    </row>
    <row r="390">
      <c r="BA390" s="313"/>
      <c r="BG390" s="313"/>
      <c r="BX390" s="313"/>
      <c r="BY390" s="315"/>
    </row>
    <row r="391">
      <c r="BA391" s="313"/>
      <c r="BG391" s="313"/>
      <c r="BX391" s="313"/>
      <c r="BY391" s="315"/>
    </row>
    <row r="392">
      <c r="BA392" s="313"/>
      <c r="BG392" s="313"/>
      <c r="BX392" s="313"/>
      <c r="BY392" s="315"/>
    </row>
    <row r="393">
      <c r="BA393" s="313"/>
      <c r="BG393" s="313"/>
      <c r="BX393" s="313"/>
      <c r="BY393" s="315"/>
    </row>
    <row r="394">
      <c r="BA394" s="313"/>
      <c r="BG394" s="313"/>
      <c r="BX394" s="313"/>
      <c r="BY394" s="315"/>
    </row>
    <row r="395">
      <c r="BA395" s="313"/>
      <c r="BG395" s="313"/>
      <c r="BX395" s="313"/>
      <c r="BY395" s="315"/>
    </row>
    <row r="396">
      <c r="BA396" s="313"/>
      <c r="BG396" s="313"/>
      <c r="BX396" s="313"/>
      <c r="BY396" s="315"/>
    </row>
    <row r="397">
      <c r="BA397" s="313"/>
      <c r="BG397" s="313"/>
      <c r="BX397" s="313"/>
      <c r="BY397" s="315"/>
    </row>
    <row r="398">
      <c r="BA398" s="313"/>
      <c r="BG398" s="313"/>
      <c r="BX398" s="313"/>
      <c r="BY398" s="315"/>
    </row>
    <row r="399">
      <c r="BA399" s="313"/>
      <c r="BG399" s="313"/>
      <c r="BX399" s="313"/>
      <c r="BY399" s="315"/>
    </row>
    <row r="400">
      <c r="BA400" s="313"/>
      <c r="BG400" s="313"/>
      <c r="BX400" s="313"/>
      <c r="BY400" s="315"/>
    </row>
    <row r="401">
      <c r="BA401" s="313"/>
      <c r="BG401" s="313"/>
      <c r="BX401" s="313"/>
      <c r="BY401" s="315"/>
    </row>
    <row r="402">
      <c r="BA402" s="313"/>
      <c r="BG402" s="313"/>
      <c r="BX402" s="313"/>
      <c r="BY402" s="315"/>
    </row>
    <row r="403">
      <c r="BA403" s="313"/>
      <c r="BG403" s="313"/>
      <c r="BX403" s="313"/>
      <c r="BY403" s="315"/>
    </row>
    <row r="404">
      <c r="BA404" s="313"/>
      <c r="BG404" s="313"/>
      <c r="BX404" s="313"/>
      <c r="BY404" s="315"/>
    </row>
    <row r="405">
      <c r="BA405" s="313"/>
      <c r="BG405" s="313"/>
      <c r="BX405" s="313"/>
      <c r="BY405" s="315"/>
    </row>
    <row r="406">
      <c r="BA406" s="313"/>
      <c r="BG406" s="313"/>
      <c r="BX406" s="313"/>
      <c r="BY406" s="315"/>
    </row>
    <row r="407">
      <c r="BA407" s="313"/>
      <c r="BG407" s="313"/>
      <c r="BX407" s="313"/>
      <c r="BY407" s="315"/>
    </row>
    <row r="408">
      <c r="BA408" s="313"/>
      <c r="BG408" s="313"/>
      <c r="BX408" s="313"/>
      <c r="BY408" s="315"/>
    </row>
    <row r="409">
      <c r="BA409" s="313"/>
      <c r="BG409" s="313"/>
      <c r="BX409" s="313"/>
      <c r="BY409" s="315"/>
    </row>
    <row r="410">
      <c r="BA410" s="313"/>
      <c r="BG410" s="313"/>
      <c r="BX410" s="313"/>
      <c r="BY410" s="315"/>
    </row>
    <row r="411">
      <c r="BA411" s="313"/>
      <c r="BG411" s="313"/>
      <c r="BX411" s="313"/>
      <c r="BY411" s="315"/>
    </row>
    <row r="412">
      <c r="BA412" s="313"/>
      <c r="BG412" s="313"/>
      <c r="BX412" s="313"/>
      <c r="BY412" s="315"/>
    </row>
    <row r="413">
      <c r="BA413" s="313"/>
      <c r="BG413" s="313"/>
      <c r="BX413" s="313"/>
      <c r="BY413" s="315"/>
    </row>
    <row r="414">
      <c r="BA414" s="313"/>
      <c r="BG414" s="313"/>
      <c r="BX414" s="313"/>
      <c r="BY414" s="315"/>
    </row>
    <row r="415">
      <c r="BA415" s="313"/>
      <c r="BG415" s="313"/>
      <c r="BX415" s="313"/>
      <c r="BY415" s="315"/>
    </row>
    <row r="416">
      <c r="BA416" s="313"/>
      <c r="BG416" s="313"/>
      <c r="BX416" s="313"/>
      <c r="BY416" s="315"/>
    </row>
    <row r="417">
      <c r="BA417" s="313"/>
      <c r="BG417" s="313"/>
      <c r="BX417" s="313"/>
      <c r="BY417" s="315"/>
    </row>
    <row r="418">
      <c r="BA418" s="313"/>
      <c r="BG418" s="313"/>
      <c r="BX418" s="313"/>
      <c r="BY418" s="315"/>
    </row>
    <row r="419">
      <c r="BA419" s="313"/>
      <c r="BG419" s="313"/>
      <c r="BX419" s="313"/>
      <c r="BY419" s="315"/>
    </row>
    <row r="420">
      <c r="BA420" s="313"/>
      <c r="BG420" s="313"/>
      <c r="BX420" s="313"/>
      <c r="BY420" s="315"/>
    </row>
    <row r="421">
      <c r="BA421" s="313"/>
      <c r="BG421" s="313"/>
      <c r="BX421" s="313"/>
      <c r="BY421" s="315"/>
    </row>
    <row r="422">
      <c r="BA422" s="313"/>
      <c r="BG422" s="313"/>
      <c r="BX422" s="313"/>
      <c r="BY422" s="315"/>
    </row>
    <row r="423">
      <c r="BA423" s="313"/>
      <c r="BG423" s="313"/>
      <c r="BX423" s="313"/>
      <c r="BY423" s="315"/>
    </row>
    <row r="424">
      <c r="BA424" s="313"/>
      <c r="BG424" s="313"/>
      <c r="BX424" s="313"/>
      <c r="BY424" s="315"/>
    </row>
    <row r="425">
      <c r="BA425" s="313"/>
      <c r="BG425" s="313"/>
      <c r="BX425" s="313"/>
      <c r="BY425" s="315"/>
    </row>
    <row r="426">
      <c r="BA426" s="313"/>
      <c r="BG426" s="313"/>
      <c r="BX426" s="313"/>
      <c r="BY426" s="315"/>
    </row>
    <row r="427">
      <c r="BA427" s="313"/>
      <c r="BG427" s="313"/>
      <c r="BX427" s="313"/>
      <c r="BY427" s="315"/>
    </row>
    <row r="428">
      <c r="BA428" s="313"/>
      <c r="BG428" s="313"/>
      <c r="BX428" s="313"/>
      <c r="BY428" s="315"/>
    </row>
    <row r="429">
      <c r="BA429" s="313"/>
      <c r="BG429" s="313"/>
      <c r="BX429" s="313"/>
      <c r="BY429" s="315"/>
    </row>
    <row r="430">
      <c r="BA430" s="313"/>
      <c r="BG430" s="313"/>
      <c r="BX430" s="313"/>
      <c r="BY430" s="315"/>
    </row>
    <row r="431">
      <c r="BA431" s="313"/>
      <c r="BG431" s="313"/>
      <c r="BX431" s="313"/>
      <c r="BY431" s="315"/>
    </row>
    <row r="432">
      <c r="BA432" s="313"/>
      <c r="BG432" s="313"/>
      <c r="BX432" s="313"/>
      <c r="BY432" s="315"/>
    </row>
    <row r="433">
      <c r="BA433" s="313"/>
      <c r="BG433" s="313"/>
      <c r="BX433" s="313"/>
      <c r="BY433" s="315"/>
    </row>
    <row r="434">
      <c r="BA434" s="313"/>
      <c r="BG434" s="313"/>
      <c r="BX434" s="313"/>
      <c r="BY434" s="315"/>
    </row>
    <row r="435">
      <c r="BA435" s="313"/>
      <c r="BG435" s="313"/>
      <c r="BX435" s="313"/>
      <c r="BY435" s="315"/>
    </row>
    <row r="436">
      <c r="BA436" s="313"/>
      <c r="BG436" s="313"/>
      <c r="BX436" s="313"/>
      <c r="BY436" s="315"/>
    </row>
    <row r="437">
      <c r="BA437" s="313"/>
      <c r="BG437" s="313"/>
      <c r="BX437" s="313"/>
      <c r="BY437" s="315"/>
    </row>
    <row r="438">
      <c r="BA438" s="313"/>
      <c r="BG438" s="313"/>
      <c r="BX438" s="313"/>
      <c r="BY438" s="315"/>
    </row>
    <row r="439">
      <c r="BA439" s="313"/>
      <c r="BG439" s="313"/>
      <c r="BX439" s="313"/>
      <c r="BY439" s="315"/>
    </row>
    <row r="440">
      <c r="BA440" s="313"/>
      <c r="BG440" s="313"/>
      <c r="BX440" s="313"/>
      <c r="BY440" s="315"/>
    </row>
    <row r="441">
      <c r="BA441" s="313"/>
      <c r="BG441" s="313"/>
      <c r="BX441" s="313"/>
      <c r="BY441" s="315"/>
    </row>
    <row r="442">
      <c r="BA442" s="313"/>
      <c r="BG442" s="313"/>
      <c r="BX442" s="313"/>
      <c r="BY442" s="315"/>
    </row>
    <row r="443">
      <c r="BA443" s="313"/>
      <c r="BG443" s="313"/>
      <c r="BX443" s="313"/>
      <c r="BY443" s="315"/>
    </row>
    <row r="444">
      <c r="BA444" s="313"/>
      <c r="BG444" s="313"/>
      <c r="BX444" s="313"/>
      <c r="BY444" s="315"/>
    </row>
    <row r="445">
      <c r="BA445" s="313"/>
      <c r="BG445" s="313"/>
      <c r="BX445" s="313"/>
      <c r="BY445" s="315"/>
    </row>
    <row r="446">
      <c r="BA446" s="313"/>
      <c r="BG446" s="313"/>
      <c r="BX446" s="313"/>
      <c r="BY446" s="315"/>
    </row>
    <row r="447">
      <c r="BA447" s="313"/>
      <c r="BG447" s="313"/>
      <c r="BX447" s="313"/>
      <c r="BY447" s="315"/>
    </row>
    <row r="448">
      <c r="BA448" s="313"/>
      <c r="BG448" s="313"/>
      <c r="BX448" s="313"/>
      <c r="BY448" s="315"/>
    </row>
    <row r="449">
      <c r="BA449" s="313"/>
      <c r="BG449" s="313"/>
      <c r="BX449" s="313"/>
      <c r="BY449" s="315"/>
    </row>
    <row r="450">
      <c r="BA450" s="313"/>
      <c r="BG450" s="313"/>
      <c r="BX450" s="313"/>
      <c r="BY450" s="315"/>
    </row>
    <row r="451">
      <c r="BA451" s="313"/>
      <c r="BG451" s="313"/>
      <c r="BX451" s="313"/>
      <c r="BY451" s="315"/>
    </row>
    <row r="452">
      <c r="BA452" s="313"/>
      <c r="BG452" s="313"/>
      <c r="BX452" s="313"/>
      <c r="BY452" s="315"/>
    </row>
    <row r="453">
      <c r="BA453" s="313"/>
      <c r="BG453" s="313"/>
      <c r="BX453" s="313"/>
      <c r="BY453" s="315"/>
    </row>
    <row r="454">
      <c r="BA454" s="313"/>
      <c r="BG454" s="313"/>
      <c r="BX454" s="313"/>
      <c r="BY454" s="315"/>
    </row>
    <row r="455">
      <c r="BA455" s="313"/>
      <c r="BG455" s="313"/>
      <c r="BX455" s="313"/>
      <c r="BY455" s="315"/>
    </row>
    <row r="456">
      <c r="BA456" s="313"/>
      <c r="BG456" s="313"/>
      <c r="BX456" s="313"/>
      <c r="BY456" s="315"/>
    </row>
    <row r="457">
      <c r="BA457" s="313"/>
      <c r="BG457" s="313"/>
      <c r="BX457" s="313"/>
      <c r="BY457" s="315"/>
    </row>
    <row r="458">
      <c r="BA458" s="313"/>
      <c r="BG458" s="313"/>
      <c r="BX458" s="313"/>
      <c r="BY458" s="315"/>
    </row>
    <row r="459">
      <c r="BA459" s="313"/>
      <c r="BG459" s="313"/>
      <c r="BX459" s="313"/>
      <c r="BY459" s="315"/>
    </row>
    <row r="460">
      <c r="BA460" s="313"/>
      <c r="BG460" s="313"/>
      <c r="BX460" s="313"/>
      <c r="BY460" s="315"/>
    </row>
    <row r="461">
      <c r="BA461" s="313"/>
      <c r="BG461" s="313"/>
      <c r="BX461" s="313"/>
      <c r="BY461" s="315"/>
    </row>
    <row r="462">
      <c r="BA462" s="313"/>
      <c r="BG462" s="313"/>
      <c r="BX462" s="313"/>
      <c r="BY462" s="315"/>
    </row>
    <row r="463">
      <c r="BA463" s="313"/>
      <c r="BG463" s="313"/>
      <c r="BX463" s="313"/>
      <c r="BY463" s="315"/>
    </row>
    <row r="464">
      <c r="BA464" s="313"/>
      <c r="BG464" s="313"/>
      <c r="BX464" s="313"/>
      <c r="BY464" s="315"/>
    </row>
    <row r="465">
      <c r="BA465" s="313"/>
      <c r="BG465" s="313"/>
      <c r="BX465" s="313"/>
      <c r="BY465" s="315"/>
    </row>
    <row r="466">
      <c r="BA466" s="313"/>
      <c r="BG466" s="313"/>
      <c r="BX466" s="313"/>
      <c r="BY466" s="315"/>
    </row>
    <row r="467">
      <c r="BA467" s="313"/>
      <c r="BG467" s="313"/>
      <c r="BX467" s="313"/>
      <c r="BY467" s="315"/>
    </row>
    <row r="468">
      <c r="BA468" s="313"/>
      <c r="BG468" s="313"/>
      <c r="BX468" s="313"/>
      <c r="BY468" s="315"/>
    </row>
    <row r="469">
      <c r="BA469" s="313"/>
      <c r="BG469" s="313"/>
      <c r="BX469" s="313"/>
      <c r="BY469" s="315"/>
    </row>
    <row r="470">
      <c r="BA470" s="313"/>
      <c r="BG470" s="313"/>
      <c r="BX470" s="313"/>
      <c r="BY470" s="315"/>
    </row>
    <row r="471">
      <c r="BA471" s="313"/>
      <c r="BG471" s="313"/>
      <c r="BX471" s="313"/>
      <c r="BY471" s="315"/>
    </row>
    <row r="472">
      <c r="BA472" s="313"/>
      <c r="BG472" s="313"/>
      <c r="BX472" s="313"/>
      <c r="BY472" s="315"/>
    </row>
    <row r="473">
      <c r="BA473" s="313"/>
      <c r="BG473" s="313"/>
      <c r="BX473" s="313"/>
      <c r="BY473" s="315"/>
    </row>
    <row r="474">
      <c r="BA474" s="313"/>
      <c r="BG474" s="313"/>
      <c r="BX474" s="313"/>
      <c r="BY474" s="315"/>
    </row>
    <row r="475">
      <c r="BA475" s="313"/>
      <c r="BG475" s="313"/>
      <c r="BX475" s="313"/>
      <c r="BY475" s="315"/>
    </row>
    <row r="476">
      <c r="BA476" s="313"/>
      <c r="BG476" s="313"/>
      <c r="BX476" s="313"/>
      <c r="BY476" s="315"/>
    </row>
    <row r="477">
      <c r="BA477" s="313"/>
      <c r="BG477" s="313"/>
      <c r="BX477" s="313"/>
      <c r="BY477" s="315"/>
    </row>
    <row r="478">
      <c r="BA478" s="313"/>
      <c r="BG478" s="313"/>
      <c r="BX478" s="313"/>
      <c r="BY478" s="315"/>
    </row>
    <row r="479">
      <c r="BA479" s="313"/>
      <c r="BG479" s="313"/>
      <c r="BX479" s="313"/>
      <c r="BY479" s="315"/>
    </row>
    <row r="480">
      <c r="BA480" s="313"/>
      <c r="BG480" s="313"/>
      <c r="BX480" s="313"/>
      <c r="BY480" s="315"/>
    </row>
    <row r="481">
      <c r="BA481" s="313"/>
      <c r="BG481" s="313"/>
      <c r="BX481" s="313"/>
      <c r="BY481" s="315"/>
    </row>
    <row r="482">
      <c r="BA482" s="313"/>
      <c r="BG482" s="313"/>
      <c r="BX482" s="313"/>
      <c r="BY482" s="315"/>
    </row>
    <row r="483">
      <c r="BA483" s="313"/>
      <c r="BG483" s="313"/>
      <c r="BX483" s="313"/>
      <c r="BY483" s="315"/>
    </row>
    <row r="484">
      <c r="BA484" s="313"/>
      <c r="BG484" s="313"/>
      <c r="BX484" s="313"/>
      <c r="BY484" s="315"/>
    </row>
    <row r="485">
      <c r="BA485" s="313"/>
      <c r="BG485" s="313"/>
      <c r="BX485" s="313"/>
      <c r="BY485" s="315"/>
    </row>
    <row r="486">
      <c r="BA486" s="313"/>
      <c r="BG486" s="313"/>
      <c r="BX486" s="313"/>
      <c r="BY486" s="315"/>
    </row>
    <row r="487">
      <c r="BA487" s="313"/>
      <c r="BG487" s="313"/>
      <c r="BX487" s="313"/>
      <c r="BY487" s="315"/>
    </row>
    <row r="488">
      <c r="BA488" s="313"/>
      <c r="BG488" s="313"/>
      <c r="BX488" s="313"/>
      <c r="BY488" s="315"/>
    </row>
    <row r="489">
      <c r="BA489" s="313"/>
      <c r="BG489" s="313"/>
      <c r="BX489" s="313"/>
      <c r="BY489" s="315"/>
    </row>
    <row r="490">
      <c r="BA490" s="313"/>
      <c r="BG490" s="313"/>
      <c r="BX490" s="313"/>
      <c r="BY490" s="315"/>
    </row>
    <row r="491">
      <c r="BA491" s="313"/>
      <c r="BG491" s="313"/>
      <c r="BX491" s="313"/>
      <c r="BY491" s="315"/>
    </row>
    <row r="492">
      <c r="BA492" s="313"/>
      <c r="BG492" s="313"/>
      <c r="BX492" s="313"/>
      <c r="BY492" s="315"/>
    </row>
    <row r="493">
      <c r="BA493" s="313"/>
      <c r="BG493" s="313"/>
      <c r="BX493" s="313"/>
      <c r="BY493" s="315"/>
    </row>
    <row r="494">
      <c r="BA494" s="313"/>
      <c r="BG494" s="313"/>
      <c r="BX494" s="313"/>
      <c r="BY494" s="315"/>
    </row>
    <row r="495">
      <c r="BA495" s="313"/>
      <c r="BG495" s="313"/>
      <c r="BX495" s="313"/>
      <c r="BY495" s="315"/>
    </row>
    <row r="496">
      <c r="BA496" s="313"/>
      <c r="BG496" s="313"/>
      <c r="BX496" s="313"/>
      <c r="BY496" s="315"/>
    </row>
    <row r="497">
      <c r="BA497" s="313"/>
      <c r="BG497" s="313"/>
      <c r="BX497" s="313"/>
      <c r="BY497" s="315"/>
    </row>
    <row r="498">
      <c r="BA498" s="313"/>
      <c r="BG498" s="313"/>
      <c r="BX498" s="313"/>
      <c r="BY498" s="315"/>
    </row>
    <row r="499">
      <c r="BA499" s="313"/>
      <c r="BG499" s="313"/>
      <c r="BX499" s="313"/>
      <c r="BY499" s="315"/>
    </row>
    <row r="500">
      <c r="BA500" s="313"/>
      <c r="BG500" s="313"/>
      <c r="BX500" s="313"/>
      <c r="BY500" s="315"/>
    </row>
    <row r="501">
      <c r="BA501" s="313"/>
      <c r="BG501" s="313"/>
      <c r="BX501" s="313"/>
      <c r="BY501" s="315"/>
    </row>
    <row r="502">
      <c r="BA502" s="313"/>
      <c r="BG502" s="313"/>
      <c r="BX502" s="313"/>
      <c r="BY502" s="315"/>
    </row>
    <row r="503">
      <c r="BA503" s="313"/>
      <c r="BG503" s="313"/>
      <c r="BX503" s="313"/>
      <c r="BY503" s="315"/>
    </row>
    <row r="504">
      <c r="BA504" s="313"/>
      <c r="BG504" s="313"/>
      <c r="BX504" s="313"/>
      <c r="BY504" s="315"/>
    </row>
    <row r="505">
      <c r="BA505" s="313"/>
      <c r="BG505" s="313"/>
      <c r="BX505" s="313"/>
      <c r="BY505" s="315"/>
    </row>
    <row r="506">
      <c r="BA506" s="313"/>
      <c r="BG506" s="313"/>
      <c r="BX506" s="313"/>
      <c r="BY506" s="315"/>
    </row>
    <row r="507">
      <c r="BA507" s="313"/>
      <c r="BG507" s="313"/>
      <c r="BX507" s="313"/>
      <c r="BY507" s="315"/>
    </row>
    <row r="508">
      <c r="BA508" s="313"/>
      <c r="BG508" s="313"/>
      <c r="BX508" s="313"/>
      <c r="BY508" s="315"/>
    </row>
    <row r="509">
      <c r="BA509" s="313"/>
      <c r="BG509" s="313"/>
      <c r="BX509" s="313"/>
      <c r="BY509" s="315"/>
    </row>
    <row r="510">
      <c r="BA510" s="313"/>
      <c r="BG510" s="313"/>
      <c r="BX510" s="313"/>
      <c r="BY510" s="315"/>
    </row>
    <row r="511">
      <c r="BA511" s="313"/>
      <c r="BG511" s="313"/>
      <c r="BX511" s="313"/>
      <c r="BY511" s="315"/>
    </row>
    <row r="512">
      <c r="BA512" s="313"/>
      <c r="BG512" s="313"/>
      <c r="BX512" s="313"/>
      <c r="BY512" s="315"/>
    </row>
    <row r="513">
      <c r="BA513" s="313"/>
      <c r="BG513" s="313"/>
      <c r="BX513" s="313"/>
      <c r="BY513" s="315"/>
    </row>
    <row r="514">
      <c r="BA514" s="313"/>
      <c r="BG514" s="313"/>
      <c r="BX514" s="313"/>
      <c r="BY514" s="315"/>
    </row>
    <row r="515">
      <c r="BA515" s="313"/>
      <c r="BG515" s="313"/>
      <c r="BX515" s="313"/>
      <c r="BY515" s="315"/>
    </row>
    <row r="516">
      <c r="BA516" s="313"/>
      <c r="BG516" s="313"/>
      <c r="BX516" s="313"/>
      <c r="BY516" s="315"/>
    </row>
    <row r="517">
      <c r="BA517" s="313"/>
      <c r="BG517" s="313"/>
      <c r="BX517" s="313"/>
      <c r="BY517" s="315"/>
    </row>
    <row r="518">
      <c r="BA518" s="313"/>
      <c r="BG518" s="313"/>
      <c r="BX518" s="313"/>
      <c r="BY518" s="315"/>
    </row>
    <row r="519">
      <c r="BA519" s="313"/>
      <c r="BG519" s="313"/>
      <c r="BX519" s="313"/>
      <c r="BY519" s="315"/>
    </row>
    <row r="520">
      <c r="BA520" s="313"/>
      <c r="BG520" s="313"/>
      <c r="BX520" s="313"/>
      <c r="BY520" s="315"/>
    </row>
    <row r="521">
      <c r="BA521" s="313"/>
      <c r="BG521" s="313"/>
      <c r="BX521" s="313"/>
      <c r="BY521" s="315"/>
    </row>
    <row r="522">
      <c r="BA522" s="313"/>
      <c r="BG522" s="313"/>
      <c r="BX522" s="313"/>
      <c r="BY522" s="315"/>
    </row>
    <row r="523">
      <c r="BA523" s="313"/>
      <c r="BG523" s="313"/>
      <c r="BX523" s="313"/>
      <c r="BY523" s="315"/>
    </row>
    <row r="524">
      <c r="BA524" s="313"/>
      <c r="BG524" s="313"/>
      <c r="BX524" s="313"/>
      <c r="BY524" s="315"/>
    </row>
    <row r="525">
      <c r="BA525" s="313"/>
      <c r="BG525" s="313"/>
      <c r="BX525" s="313"/>
      <c r="BY525" s="315"/>
    </row>
    <row r="526">
      <c r="BA526" s="313"/>
      <c r="BG526" s="313"/>
      <c r="BX526" s="313"/>
      <c r="BY526" s="315"/>
    </row>
    <row r="527">
      <c r="BA527" s="313"/>
      <c r="BG527" s="313"/>
      <c r="BX527" s="313"/>
      <c r="BY527" s="315"/>
    </row>
    <row r="528">
      <c r="BA528" s="313"/>
      <c r="BG528" s="313"/>
      <c r="BX528" s="313"/>
      <c r="BY528" s="315"/>
    </row>
    <row r="529">
      <c r="BA529" s="313"/>
      <c r="BG529" s="313"/>
      <c r="BX529" s="313"/>
      <c r="BY529" s="315"/>
    </row>
    <row r="530">
      <c r="BA530" s="313"/>
      <c r="BG530" s="313"/>
      <c r="BX530" s="313"/>
      <c r="BY530" s="315"/>
    </row>
    <row r="531">
      <c r="BA531" s="313"/>
      <c r="BG531" s="313"/>
      <c r="BX531" s="313"/>
      <c r="BY531" s="315"/>
    </row>
    <row r="532">
      <c r="BA532" s="313"/>
      <c r="BG532" s="313"/>
      <c r="BX532" s="313"/>
      <c r="BY532" s="315"/>
    </row>
    <row r="533">
      <c r="BA533" s="313"/>
      <c r="BG533" s="313"/>
      <c r="BX533" s="313"/>
      <c r="BY533" s="315"/>
    </row>
    <row r="534">
      <c r="BA534" s="313"/>
      <c r="BG534" s="313"/>
      <c r="BX534" s="313"/>
      <c r="BY534" s="315"/>
    </row>
    <row r="535">
      <c r="BA535" s="313"/>
      <c r="BG535" s="313"/>
      <c r="BX535" s="313"/>
      <c r="BY535" s="315"/>
    </row>
    <row r="536">
      <c r="BA536" s="313"/>
      <c r="BG536" s="313"/>
      <c r="BX536" s="313"/>
      <c r="BY536" s="315"/>
    </row>
    <row r="537">
      <c r="BA537" s="313"/>
      <c r="BG537" s="313"/>
      <c r="BX537" s="313"/>
      <c r="BY537" s="315"/>
    </row>
    <row r="538">
      <c r="BA538" s="313"/>
      <c r="BG538" s="313"/>
      <c r="BX538" s="313"/>
      <c r="BY538" s="315"/>
    </row>
    <row r="539">
      <c r="BA539" s="313"/>
      <c r="BG539" s="313"/>
      <c r="BX539" s="313"/>
      <c r="BY539" s="315"/>
    </row>
    <row r="540">
      <c r="BA540" s="313"/>
      <c r="BG540" s="313"/>
      <c r="BX540" s="313"/>
      <c r="BY540" s="315"/>
    </row>
    <row r="541">
      <c r="BA541" s="313"/>
      <c r="BG541" s="313"/>
      <c r="BX541" s="313"/>
      <c r="BY541" s="315"/>
    </row>
    <row r="542">
      <c r="BA542" s="313"/>
      <c r="BG542" s="313"/>
      <c r="BX542" s="313"/>
      <c r="BY542" s="315"/>
    </row>
    <row r="543">
      <c r="BA543" s="313"/>
      <c r="BG543" s="313"/>
      <c r="BX543" s="313"/>
      <c r="BY543" s="315"/>
    </row>
    <row r="544">
      <c r="BA544" s="313"/>
      <c r="BG544" s="313"/>
      <c r="BX544" s="313"/>
      <c r="BY544" s="315"/>
    </row>
    <row r="545">
      <c r="BA545" s="313"/>
      <c r="BG545" s="313"/>
      <c r="BX545" s="313"/>
      <c r="BY545" s="315"/>
    </row>
    <row r="546">
      <c r="BA546" s="313"/>
      <c r="BG546" s="313"/>
      <c r="BX546" s="313"/>
      <c r="BY546" s="315"/>
    </row>
    <row r="547">
      <c r="BA547" s="313"/>
      <c r="BG547" s="313"/>
      <c r="BX547" s="313"/>
      <c r="BY547" s="315"/>
    </row>
    <row r="548">
      <c r="BA548" s="313"/>
      <c r="BG548" s="313"/>
      <c r="BX548" s="313"/>
      <c r="BY548" s="315"/>
    </row>
    <row r="549">
      <c r="BA549" s="313"/>
      <c r="BG549" s="313"/>
      <c r="BX549" s="313"/>
      <c r="BY549" s="315"/>
    </row>
    <row r="550">
      <c r="BA550" s="313"/>
      <c r="BG550" s="313"/>
      <c r="BX550" s="313"/>
      <c r="BY550" s="315"/>
    </row>
    <row r="551">
      <c r="BA551" s="313"/>
      <c r="BG551" s="313"/>
      <c r="BX551" s="313"/>
      <c r="BY551" s="315"/>
    </row>
    <row r="552">
      <c r="BA552" s="313"/>
      <c r="BG552" s="313"/>
      <c r="BX552" s="313"/>
      <c r="BY552" s="315"/>
    </row>
    <row r="553">
      <c r="BA553" s="313"/>
      <c r="BG553" s="313"/>
      <c r="BX553" s="313"/>
      <c r="BY553" s="315"/>
    </row>
    <row r="554">
      <c r="BA554" s="313"/>
      <c r="BG554" s="313"/>
      <c r="BX554" s="313"/>
      <c r="BY554" s="315"/>
    </row>
    <row r="555">
      <c r="BA555" s="313"/>
      <c r="BG555" s="313"/>
      <c r="BX555" s="313"/>
      <c r="BY555" s="315"/>
    </row>
    <row r="556">
      <c r="BA556" s="313"/>
      <c r="BG556" s="313"/>
      <c r="BX556" s="313"/>
      <c r="BY556" s="315"/>
    </row>
    <row r="557">
      <c r="BA557" s="313"/>
      <c r="BG557" s="313"/>
      <c r="BX557" s="313"/>
      <c r="BY557" s="315"/>
    </row>
    <row r="558">
      <c r="BA558" s="313"/>
      <c r="BG558" s="313"/>
      <c r="BX558" s="313"/>
      <c r="BY558" s="315"/>
    </row>
    <row r="559">
      <c r="BA559" s="313"/>
      <c r="BG559" s="313"/>
      <c r="BX559" s="313"/>
      <c r="BY559" s="315"/>
    </row>
    <row r="560">
      <c r="BA560" s="313"/>
      <c r="BG560" s="313"/>
      <c r="BX560" s="313"/>
      <c r="BY560" s="315"/>
    </row>
    <row r="561">
      <c r="BA561" s="313"/>
      <c r="BG561" s="313"/>
      <c r="BX561" s="313"/>
      <c r="BY561" s="315"/>
    </row>
    <row r="562">
      <c r="BA562" s="313"/>
      <c r="BG562" s="313"/>
      <c r="BX562" s="313"/>
      <c r="BY562" s="315"/>
    </row>
    <row r="563">
      <c r="BA563" s="313"/>
      <c r="BG563" s="313"/>
      <c r="BX563" s="313"/>
      <c r="BY563" s="315"/>
    </row>
    <row r="564">
      <c r="BA564" s="313"/>
      <c r="BG564" s="313"/>
      <c r="BX564" s="313"/>
      <c r="BY564" s="315"/>
    </row>
    <row r="565">
      <c r="BA565" s="313"/>
      <c r="BG565" s="313"/>
      <c r="BX565" s="313"/>
      <c r="BY565" s="315"/>
    </row>
    <row r="566">
      <c r="BA566" s="313"/>
      <c r="BG566" s="313"/>
      <c r="BX566" s="313"/>
      <c r="BY566" s="315"/>
    </row>
    <row r="567">
      <c r="BA567" s="313"/>
      <c r="BG567" s="313"/>
      <c r="BX567" s="313"/>
      <c r="BY567" s="315"/>
    </row>
    <row r="568">
      <c r="BA568" s="313"/>
      <c r="BG568" s="313"/>
      <c r="BX568" s="313"/>
      <c r="BY568" s="315"/>
    </row>
    <row r="569">
      <c r="BA569" s="313"/>
      <c r="BG569" s="313"/>
      <c r="BX569" s="313"/>
      <c r="BY569" s="315"/>
    </row>
    <row r="570">
      <c r="BA570" s="313"/>
      <c r="BG570" s="313"/>
      <c r="BX570" s="313"/>
      <c r="BY570" s="315"/>
    </row>
    <row r="571">
      <c r="BA571" s="313"/>
      <c r="BG571" s="313"/>
      <c r="BX571" s="313"/>
      <c r="BY571" s="315"/>
    </row>
    <row r="572">
      <c r="BA572" s="313"/>
      <c r="BG572" s="313"/>
      <c r="BX572" s="313"/>
      <c r="BY572" s="315"/>
    </row>
    <row r="573">
      <c r="BA573" s="313"/>
      <c r="BG573" s="313"/>
      <c r="BX573" s="313"/>
      <c r="BY573" s="315"/>
    </row>
    <row r="574">
      <c r="BA574" s="313"/>
      <c r="BG574" s="313"/>
      <c r="BX574" s="313"/>
      <c r="BY574" s="315"/>
    </row>
    <row r="575">
      <c r="BA575" s="313"/>
      <c r="BG575" s="313"/>
      <c r="BX575" s="313"/>
      <c r="BY575" s="315"/>
    </row>
    <row r="576">
      <c r="BA576" s="313"/>
      <c r="BG576" s="313"/>
      <c r="BX576" s="313"/>
      <c r="BY576" s="315"/>
    </row>
    <row r="577">
      <c r="BA577" s="313"/>
      <c r="BG577" s="313"/>
      <c r="BX577" s="313"/>
      <c r="BY577" s="315"/>
    </row>
    <row r="578">
      <c r="BA578" s="313"/>
      <c r="BG578" s="313"/>
      <c r="BX578" s="313"/>
      <c r="BY578" s="315"/>
    </row>
    <row r="579">
      <c r="BA579" s="313"/>
      <c r="BG579" s="313"/>
      <c r="BX579" s="313"/>
      <c r="BY579" s="315"/>
    </row>
    <row r="580">
      <c r="BA580" s="313"/>
      <c r="BG580" s="313"/>
      <c r="BX580" s="313"/>
      <c r="BY580" s="315"/>
    </row>
    <row r="581">
      <c r="BA581" s="313"/>
      <c r="BG581" s="313"/>
      <c r="BX581" s="313"/>
      <c r="BY581" s="315"/>
    </row>
    <row r="582">
      <c r="BA582" s="313"/>
      <c r="BG582" s="313"/>
      <c r="BX582" s="313"/>
      <c r="BY582" s="315"/>
    </row>
    <row r="583">
      <c r="BA583" s="313"/>
      <c r="BG583" s="313"/>
      <c r="BX583" s="313"/>
      <c r="BY583" s="315"/>
    </row>
    <row r="584">
      <c r="BA584" s="313"/>
      <c r="BG584" s="313"/>
      <c r="BX584" s="313"/>
      <c r="BY584" s="315"/>
    </row>
    <row r="585">
      <c r="BA585" s="313"/>
      <c r="BG585" s="313"/>
      <c r="BX585" s="313"/>
      <c r="BY585" s="315"/>
    </row>
    <row r="586">
      <c r="BA586" s="313"/>
      <c r="BG586" s="313"/>
      <c r="BX586" s="313"/>
      <c r="BY586" s="315"/>
    </row>
    <row r="587">
      <c r="BA587" s="313"/>
      <c r="BG587" s="313"/>
      <c r="BX587" s="313"/>
      <c r="BY587" s="315"/>
    </row>
    <row r="588">
      <c r="BA588" s="313"/>
      <c r="BG588" s="313"/>
      <c r="BX588" s="313"/>
      <c r="BY588" s="315"/>
    </row>
    <row r="589">
      <c r="BA589" s="313"/>
      <c r="BG589" s="313"/>
      <c r="BX589" s="313"/>
      <c r="BY589" s="315"/>
    </row>
    <row r="590">
      <c r="BA590" s="313"/>
      <c r="BG590" s="313"/>
      <c r="BX590" s="313"/>
      <c r="BY590" s="315"/>
    </row>
    <row r="591">
      <c r="BA591" s="313"/>
      <c r="BG591" s="313"/>
      <c r="BX591" s="313"/>
      <c r="BY591" s="315"/>
    </row>
    <row r="592">
      <c r="BA592" s="313"/>
      <c r="BG592" s="313"/>
      <c r="BX592" s="313"/>
      <c r="BY592" s="315"/>
    </row>
    <row r="593">
      <c r="BA593" s="313"/>
      <c r="BG593" s="313"/>
      <c r="BX593" s="313"/>
      <c r="BY593" s="315"/>
    </row>
    <row r="594">
      <c r="BA594" s="313"/>
      <c r="BG594" s="313"/>
      <c r="BX594" s="313"/>
      <c r="BY594" s="315"/>
    </row>
    <row r="595">
      <c r="BA595" s="313"/>
      <c r="BG595" s="313"/>
      <c r="BX595" s="313"/>
      <c r="BY595" s="315"/>
    </row>
    <row r="596">
      <c r="BA596" s="313"/>
      <c r="BG596" s="313"/>
      <c r="BX596" s="313"/>
      <c r="BY596" s="315"/>
    </row>
    <row r="597">
      <c r="BA597" s="313"/>
      <c r="BG597" s="313"/>
      <c r="BX597" s="313"/>
      <c r="BY597" s="315"/>
    </row>
    <row r="598">
      <c r="BA598" s="313"/>
      <c r="BG598" s="313"/>
      <c r="BX598" s="313"/>
      <c r="BY598" s="315"/>
    </row>
    <row r="599">
      <c r="BA599" s="313"/>
      <c r="BG599" s="313"/>
      <c r="BX599" s="313"/>
      <c r="BY599" s="315"/>
    </row>
    <row r="600">
      <c r="BA600" s="313"/>
      <c r="BG600" s="313"/>
      <c r="BX600" s="313"/>
      <c r="BY600" s="315"/>
    </row>
    <row r="601">
      <c r="BA601" s="313"/>
      <c r="BG601" s="313"/>
      <c r="BX601" s="313"/>
      <c r="BY601" s="315"/>
    </row>
    <row r="602">
      <c r="BA602" s="313"/>
      <c r="BG602" s="313"/>
      <c r="BX602" s="313"/>
      <c r="BY602" s="315"/>
    </row>
    <row r="603">
      <c r="BA603" s="313"/>
      <c r="BG603" s="313"/>
      <c r="BX603" s="313"/>
      <c r="BY603" s="315"/>
    </row>
    <row r="604">
      <c r="BA604" s="313"/>
      <c r="BG604" s="313"/>
      <c r="BX604" s="313"/>
      <c r="BY604" s="315"/>
    </row>
    <row r="605">
      <c r="BA605" s="313"/>
      <c r="BG605" s="313"/>
      <c r="BX605" s="313"/>
      <c r="BY605" s="315"/>
    </row>
    <row r="606">
      <c r="BA606" s="313"/>
      <c r="BG606" s="313"/>
      <c r="BX606" s="313"/>
      <c r="BY606" s="315"/>
    </row>
    <row r="607">
      <c r="BA607" s="313"/>
      <c r="BG607" s="313"/>
      <c r="BX607" s="313"/>
      <c r="BY607" s="315"/>
    </row>
    <row r="608">
      <c r="BA608" s="313"/>
      <c r="BG608" s="313"/>
      <c r="BX608" s="313"/>
      <c r="BY608" s="315"/>
    </row>
    <row r="609">
      <c r="BA609" s="313"/>
      <c r="BG609" s="313"/>
      <c r="BX609" s="313"/>
      <c r="BY609" s="315"/>
    </row>
    <row r="610">
      <c r="BA610" s="313"/>
      <c r="BG610" s="313"/>
      <c r="BX610" s="313"/>
      <c r="BY610" s="315"/>
    </row>
    <row r="611">
      <c r="BA611" s="313"/>
      <c r="BG611" s="313"/>
      <c r="BX611" s="313"/>
      <c r="BY611" s="315"/>
    </row>
    <row r="612">
      <c r="BA612" s="313"/>
      <c r="BG612" s="313"/>
      <c r="BX612" s="313"/>
      <c r="BY612" s="315"/>
    </row>
    <row r="613">
      <c r="BA613" s="313"/>
      <c r="BG613" s="313"/>
      <c r="BX613" s="313"/>
      <c r="BY613" s="315"/>
    </row>
    <row r="614">
      <c r="BA614" s="313"/>
      <c r="BG614" s="313"/>
      <c r="BX614" s="313"/>
      <c r="BY614" s="315"/>
    </row>
    <row r="615">
      <c r="BA615" s="313"/>
      <c r="BG615" s="313"/>
      <c r="BX615" s="313"/>
      <c r="BY615" s="315"/>
    </row>
    <row r="616">
      <c r="BA616" s="313"/>
      <c r="BG616" s="313"/>
      <c r="BX616" s="313"/>
      <c r="BY616" s="315"/>
    </row>
    <row r="617">
      <c r="BA617" s="313"/>
      <c r="BG617" s="313"/>
      <c r="BX617" s="313"/>
      <c r="BY617" s="315"/>
    </row>
    <row r="618">
      <c r="BA618" s="313"/>
      <c r="BG618" s="313"/>
      <c r="BX618" s="313"/>
      <c r="BY618" s="315"/>
    </row>
    <row r="619">
      <c r="BA619" s="313"/>
      <c r="BG619" s="313"/>
      <c r="BX619" s="313"/>
      <c r="BY619" s="315"/>
    </row>
    <row r="620">
      <c r="BA620" s="313"/>
      <c r="BG620" s="313"/>
      <c r="BX620" s="313"/>
      <c r="BY620" s="315"/>
    </row>
    <row r="621">
      <c r="BA621" s="313"/>
      <c r="BG621" s="313"/>
      <c r="BX621" s="313"/>
      <c r="BY621" s="315"/>
    </row>
    <row r="622">
      <c r="BA622" s="313"/>
      <c r="BG622" s="313"/>
      <c r="BX622" s="313"/>
      <c r="BY622" s="315"/>
    </row>
    <row r="623">
      <c r="BA623" s="313"/>
      <c r="BG623" s="313"/>
      <c r="BX623" s="313"/>
      <c r="BY623" s="315"/>
    </row>
    <row r="624">
      <c r="BA624" s="313"/>
      <c r="BG624" s="313"/>
      <c r="BX624" s="313"/>
      <c r="BY624" s="315"/>
    </row>
    <row r="625">
      <c r="BA625" s="313"/>
      <c r="BG625" s="313"/>
      <c r="BX625" s="313"/>
      <c r="BY625" s="315"/>
    </row>
    <row r="626">
      <c r="BA626" s="313"/>
      <c r="BG626" s="313"/>
      <c r="BX626" s="313"/>
      <c r="BY626" s="315"/>
    </row>
    <row r="627">
      <c r="BA627" s="313"/>
      <c r="BG627" s="313"/>
      <c r="BX627" s="313"/>
      <c r="BY627" s="315"/>
    </row>
    <row r="628">
      <c r="BA628" s="313"/>
      <c r="BG628" s="313"/>
      <c r="BX628" s="313"/>
      <c r="BY628" s="315"/>
    </row>
    <row r="629">
      <c r="BA629" s="313"/>
      <c r="BG629" s="313"/>
      <c r="BX629" s="313"/>
      <c r="BY629" s="315"/>
    </row>
    <row r="630">
      <c r="BA630" s="313"/>
      <c r="BG630" s="313"/>
      <c r="BX630" s="313"/>
      <c r="BY630" s="315"/>
    </row>
    <row r="631">
      <c r="BA631" s="313"/>
      <c r="BG631" s="313"/>
      <c r="BX631" s="313"/>
      <c r="BY631" s="315"/>
    </row>
    <row r="632">
      <c r="BA632" s="313"/>
      <c r="BG632" s="313"/>
      <c r="BX632" s="313"/>
      <c r="BY632" s="315"/>
    </row>
    <row r="633">
      <c r="BA633" s="313"/>
      <c r="BG633" s="313"/>
      <c r="BX633" s="313"/>
      <c r="BY633" s="315"/>
    </row>
    <row r="634">
      <c r="BA634" s="313"/>
      <c r="BG634" s="313"/>
      <c r="BX634" s="313"/>
      <c r="BY634" s="315"/>
    </row>
    <row r="635">
      <c r="BA635" s="313"/>
      <c r="BG635" s="313"/>
      <c r="BX635" s="313"/>
      <c r="BY635" s="315"/>
    </row>
    <row r="636">
      <c r="BA636" s="313"/>
      <c r="BG636" s="313"/>
      <c r="BX636" s="313"/>
      <c r="BY636" s="315"/>
    </row>
    <row r="637">
      <c r="BA637" s="313"/>
      <c r="BG637" s="313"/>
      <c r="BX637" s="313"/>
      <c r="BY637" s="315"/>
    </row>
    <row r="638">
      <c r="BA638" s="313"/>
      <c r="BG638" s="313"/>
      <c r="BX638" s="313"/>
      <c r="BY638" s="315"/>
    </row>
    <row r="639">
      <c r="BA639" s="313"/>
      <c r="BG639" s="313"/>
      <c r="BX639" s="313"/>
      <c r="BY639" s="315"/>
    </row>
    <row r="640">
      <c r="BA640" s="313"/>
      <c r="BG640" s="313"/>
      <c r="BX640" s="313"/>
      <c r="BY640" s="315"/>
    </row>
    <row r="641">
      <c r="BA641" s="313"/>
      <c r="BG641" s="313"/>
      <c r="BX641" s="313"/>
      <c r="BY641" s="315"/>
    </row>
    <row r="642">
      <c r="BA642" s="313"/>
      <c r="BG642" s="313"/>
      <c r="BX642" s="313"/>
      <c r="BY642" s="315"/>
    </row>
    <row r="643">
      <c r="BA643" s="313"/>
      <c r="BG643" s="313"/>
      <c r="BX643" s="313"/>
      <c r="BY643" s="315"/>
    </row>
    <row r="644">
      <c r="BA644" s="313"/>
      <c r="BG644" s="313"/>
      <c r="BX644" s="313"/>
      <c r="BY644" s="315"/>
    </row>
    <row r="645">
      <c r="BA645" s="313"/>
      <c r="BG645" s="313"/>
      <c r="BX645" s="313"/>
      <c r="BY645" s="315"/>
    </row>
    <row r="646">
      <c r="BA646" s="313"/>
      <c r="BG646" s="313"/>
      <c r="BX646" s="313"/>
      <c r="BY646" s="315"/>
    </row>
    <row r="647">
      <c r="BA647" s="313"/>
      <c r="BG647" s="313"/>
      <c r="BX647" s="313"/>
      <c r="BY647" s="315"/>
    </row>
    <row r="648">
      <c r="BA648" s="313"/>
      <c r="BG648" s="313"/>
      <c r="BX648" s="313"/>
      <c r="BY648" s="315"/>
    </row>
    <row r="649">
      <c r="BA649" s="313"/>
      <c r="BG649" s="313"/>
      <c r="BX649" s="313"/>
      <c r="BY649" s="315"/>
    </row>
    <row r="650">
      <c r="BA650" s="313"/>
      <c r="BG650" s="313"/>
      <c r="BX650" s="313"/>
      <c r="BY650" s="315"/>
    </row>
    <row r="651">
      <c r="BA651" s="313"/>
      <c r="BG651" s="313"/>
      <c r="BX651" s="313"/>
      <c r="BY651" s="315"/>
    </row>
    <row r="652">
      <c r="BA652" s="313"/>
      <c r="BG652" s="313"/>
      <c r="BX652" s="313"/>
      <c r="BY652" s="315"/>
    </row>
    <row r="653">
      <c r="BA653" s="313"/>
      <c r="BG653" s="313"/>
      <c r="BX653" s="313"/>
      <c r="BY653" s="315"/>
    </row>
    <row r="654">
      <c r="BA654" s="313"/>
      <c r="BG654" s="313"/>
      <c r="BX654" s="313"/>
      <c r="BY654" s="315"/>
    </row>
    <row r="655">
      <c r="BA655" s="313"/>
      <c r="BG655" s="313"/>
      <c r="BX655" s="313"/>
      <c r="BY655" s="315"/>
    </row>
    <row r="656">
      <c r="BA656" s="313"/>
      <c r="BG656" s="313"/>
      <c r="BX656" s="313"/>
      <c r="BY656" s="315"/>
    </row>
    <row r="657">
      <c r="BA657" s="313"/>
      <c r="BG657" s="313"/>
      <c r="BX657" s="313"/>
      <c r="BY657" s="315"/>
    </row>
    <row r="658">
      <c r="BA658" s="313"/>
      <c r="BG658" s="313"/>
      <c r="BX658" s="313"/>
      <c r="BY658" s="315"/>
    </row>
    <row r="659">
      <c r="BA659" s="313"/>
      <c r="BG659" s="313"/>
      <c r="BX659" s="313"/>
      <c r="BY659" s="315"/>
    </row>
    <row r="660">
      <c r="BA660" s="313"/>
      <c r="BG660" s="313"/>
      <c r="BX660" s="313"/>
      <c r="BY660" s="315"/>
    </row>
    <row r="661">
      <c r="BA661" s="313"/>
      <c r="BG661" s="313"/>
      <c r="BX661" s="313"/>
      <c r="BY661" s="315"/>
    </row>
    <row r="662">
      <c r="BA662" s="313"/>
      <c r="BG662" s="313"/>
      <c r="BX662" s="313"/>
      <c r="BY662" s="315"/>
    </row>
    <row r="663">
      <c r="BA663" s="313"/>
      <c r="BG663" s="313"/>
      <c r="BX663" s="313"/>
      <c r="BY663" s="315"/>
    </row>
    <row r="664">
      <c r="BA664" s="313"/>
      <c r="BG664" s="313"/>
      <c r="BX664" s="313"/>
      <c r="BY664" s="315"/>
    </row>
    <row r="665">
      <c r="BA665" s="313"/>
      <c r="BG665" s="313"/>
      <c r="BX665" s="313"/>
      <c r="BY665" s="315"/>
    </row>
    <row r="666">
      <c r="BA666" s="313"/>
      <c r="BG666" s="313"/>
      <c r="BX666" s="313"/>
      <c r="BY666" s="315"/>
    </row>
    <row r="667">
      <c r="BA667" s="313"/>
      <c r="BG667" s="313"/>
      <c r="BX667" s="313"/>
      <c r="BY667" s="315"/>
    </row>
    <row r="668">
      <c r="BA668" s="313"/>
      <c r="BG668" s="313"/>
      <c r="BX668" s="313"/>
      <c r="BY668" s="315"/>
    </row>
    <row r="669">
      <c r="BA669" s="313"/>
      <c r="BG669" s="313"/>
      <c r="BX669" s="313"/>
      <c r="BY669" s="315"/>
    </row>
    <row r="670">
      <c r="BA670" s="313"/>
      <c r="BG670" s="313"/>
      <c r="BX670" s="313"/>
      <c r="BY670" s="315"/>
    </row>
    <row r="671">
      <c r="BA671" s="313"/>
      <c r="BG671" s="313"/>
      <c r="BX671" s="313"/>
      <c r="BY671" s="315"/>
    </row>
    <row r="672">
      <c r="BA672" s="313"/>
      <c r="BG672" s="313"/>
      <c r="BX672" s="313"/>
      <c r="BY672" s="315"/>
    </row>
    <row r="673">
      <c r="BA673" s="313"/>
      <c r="BG673" s="313"/>
      <c r="BX673" s="313"/>
      <c r="BY673" s="315"/>
    </row>
    <row r="674">
      <c r="BA674" s="313"/>
      <c r="BG674" s="313"/>
      <c r="BX674" s="313"/>
      <c r="BY674" s="315"/>
    </row>
    <row r="675">
      <c r="BA675" s="313"/>
      <c r="BG675" s="313"/>
      <c r="BX675" s="313"/>
      <c r="BY675" s="315"/>
    </row>
    <row r="676">
      <c r="BA676" s="313"/>
      <c r="BG676" s="313"/>
      <c r="BX676" s="313"/>
      <c r="BY676" s="315"/>
    </row>
    <row r="677">
      <c r="BA677" s="313"/>
      <c r="BG677" s="313"/>
      <c r="BX677" s="313"/>
      <c r="BY677" s="315"/>
    </row>
    <row r="678">
      <c r="BA678" s="313"/>
      <c r="BG678" s="313"/>
      <c r="BX678" s="313"/>
      <c r="BY678" s="315"/>
    </row>
    <row r="679">
      <c r="BA679" s="313"/>
      <c r="BG679" s="313"/>
      <c r="BX679" s="313"/>
      <c r="BY679" s="315"/>
    </row>
    <row r="680">
      <c r="BA680" s="313"/>
      <c r="BG680" s="313"/>
      <c r="BX680" s="313"/>
      <c r="BY680" s="315"/>
    </row>
    <row r="681">
      <c r="BA681" s="313"/>
      <c r="BG681" s="313"/>
      <c r="BX681" s="313"/>
      <c r="BY681" s="315"/>
    </row>
    <row r="682">
      <c r="BA682" s="313"/>
      <c r="BG682" s="313"/>
      <c r="BX682" s="313"/>
      <c r="BY682" s="315"/>
    </row>
    <row r="683">
      <c r="BA683" s="313"/>
      <c r="BG683" s="313"/>
      <c r="BX683" s="313"/>
      <c r="BY683" s="315"/>
    </row>
    <row r="684">
      <c r="BA684" s="313"/>
      <c r="BG684" s="313"/>
      <c r="BX684" s="313"/>
      <c r="BY684" s="315"/>
    </row>
    <row r="685">
      <c r="BA685" s="313"/>
      <c r="BG685" s="313"/>
      <c r="BX685" s="313"/>
      <c r="BY685" s="315"/>
    </row>
    <row r="686">
      <c r="BA686" s="313"/>
      <c r="BG686" s="313"/>
      <c r="BX686" s="313"/>
      <c r="BY686" s="315"/>
    </row>
    <row r="687">
      <c r="BA687" s="313"/>
      <c r="BG687" s="313"/>
      <c r="BX687" s="313"/>
      <c r="BY687" s="315"/>
    </row>
    <row r="688">
      <c r="BA688" s="313"/>
      <c r="BG688" s="313"/>
      <c r="BX688" s="313"/>
      <c r="BY688" s="315"/>
    </row>
    <row r="689">
      <c r="BA689" s="313"/>
      <c r="BG689" s="313"/>
      <c r="BX689" s="313"/>
      <c r="BY689" s="315"/>
    </row>
    <row r="690">
      <c r="BA690" s="313"/>
      <c r="BG690" s="313"/>
      <c r="BX690" s="313"/>
      <c r="BY690" s="315"/>
    </row>
    <row r="691">
      <c r="BA691" s="313"/>
      <c r="BG691" s="313"/>
      <c r="BX691" s="313"/>
      <c r="BY691" s="315"/>
    </row>
    <row r="692">
      <c r="BA692" s="313"/>
      <c r="BG692" s="313"/>
      <c r="BX692" s="313"/>
      <c r="BY692" s="315"/>
    </row>
    <row r="693">
      <c r="BA693" s="313"/>
      <c r="BG693" s="313"/>
      <c r="BX693" s="313"/>
      <c r="BY693" s="315"/>
    </row>
    <row r="694">
      <c r="BA694" s="313"/>
      <c r="BG694" s="313"/>
      <c r="BX694" s="313"/>
      <c r="BY694" s="315"/>
    </row>
    <row r="695">
      <c r="BA695" s="313"/>
      <c r="BG695" s="313"/>
      <c r="BX695" s="313"/>
      <c r="BY695" s="315"/>
    </row>
    <row r="696">
      <c r="BA696" s="313"/>
      <c r="BG696" s="313"/>
      <c r="BX696" s="313"/>
      <c r="BY696" s="315"/>
    </row>
    <row r="697">
      <c r="BA697" s="313"/>
      <c r="BG697" s="313"/>
      <c r="BX697" s="313"/>
      <c r="BY697" s="315"/>
    </row>
    <row r="698">
      <c r="BA698" s="313"/>
      <c r="BG698" s="313"/>
      <c r="BX698" s="313"/>
      <c r="BY698" s="315"/>
    </row>
    <row r="699">
      <c r="BA699" s="313"/>
      <c r="BG699" s="313"/>
      <c r="BX699" s="313"/>
      <c r="BY699" s="315"/>
    </row>
    <row r="700">
      <c r="BA700" s="313"/>
      <c r="BG700" s="313"/>
      <c r="BX700" s="313"/>
      <c r="BY700" s="315"/>
    </row>
    <row r="701">
      <c r="BA701" s="313"/>
      <c r="BG701" s="313"/>
      <c r="BX701" s="313"/>
      <c r="BY701" s="315"/>
    </row>
    <row r="702">
      <c r="BA702" s="313"/>
      <c r="BG702" s="313"/>
      <c r="BX702" s="313"/>
      <c r="BY702" s="315"/>
    </row>
    <row r="703">
      <c r="BA703" s="313"/>
      <c r="BG703" s="313"/>
      <c r="BX703" s="313"/>
      <c r="BY703" s="315"/>
    </row>
    <row r="704">
      <c r="BA704" s="313"/>
      <c r="BG704" s="313"/>
      <c r="BX704" s="313"/>
      <c r="BY704" s="315"/>
    </row>
    <row r="705">
      <c r="BA705" s="313"/>
      <c r="BG705" s="313"/>
      <c r="BX705" s="313"/>
      <c r="BY705" s="315"/>
    </row>
    <row r="706">
      <c r="BA706" s="313"/>
      <c r="BG706" s="313"/>
      <c r="BX706" s="313"/>
      <c r="BY706" s="315"/>
    </row>
    <row r="707">
      <c r="BA707" s="313"/>
      <c r="BG707" s="313"/>
      <c r="BX707" s="313"/>
      <c r="BY707" s="315"/>
    </row>
    <row r="708">
      <c r="BA708" s="313"/>
      <c r="BG708" s="313"/>
      <c r="BX708" s="313"/>
      <c r="BY708" s="315"/>
    </row>
    <row r="709">
      <c r="BA709" s="313"/>
      <c r="BG709" s="313"/>
      <c r="BX709" s="313"/>
      <c r="BY709" s="315"/>
    </row>
    <row r="710">
      <c r="BA710" s="313"/>
      <c r="BG710" s="313"/>
      <c r="BX710" s="313"/>
      <c r="BY710" s="315"/>
    </row>
    <row r="711">
      <c r="BA711" s="313"/>
      <c r="BG711" s="313"/>
      <c r="BX711" s="313"/>
      <c r="BY711" s="315"/>
    </row>
    <row r="712">
      <c r="BA712" s="313"/>
      <c r="BG712" s="313"/>
      <c r="BX712" s="313"/>
      <c r="BY712" s="315"/>
    </row>
    <row r="713">
      <c r="BA713" s="313"/>
      <c r="BG713" s="313"/>
      <c r="BX713" s="313"/>
      <c r="BY713" s="315"/>
    </row>
    <row r="714">
      <c r="BA714" s="313"/>
      <c r="BG714" s="313"/>
      <c r="BX714" s="313"/>
      <c r="BY714" s="315"/>
    </row>
    <row r="715">
      <c r="BA715" s="313"/>
      <c r="BG715" s="313"/>
      <c r="BX715" s="313"/>
      <c r="BY715" s="315"/>
    </row>
    <row r="716">
      <c r="BA716" s="313"/>
      <c r="BG716" s="313"/>
      <c r="BX716" s="313"/>
      <c r="BY716" s="315"/>
    </row>
    <row r="717">
      <c r="BA717" s="313"/>
      <c r="BG717" s="313"/>
      <c r="BX717" s="313"/>
      <c r="BY717" s="315"/>
    </row>
    <row r="718">
      <c r="BA718" s="313"/>
      <c r="BG718" s="313"/>
      <c r="BX718" s="313"/>
      <c r="BY718" s="315"/>
    </row>
    <row r="719">
      <c r="BA719" s="313"/>
      <c r="BG719" s="313"/>
      <c r="BX719" s="313"/>
      <c r="BY719" s="315"/>
    </row>
    <row r="720">
      <c r="BA720" s="313"/>
      <c r="BG720" s="313"/>
      <c r="BX720" s="313"/>
      <c r="BY720" s="315"/>
    </row>
    <row r="721">
      <c r="BA721" s="313"/>
      <c r="BG721" s="313"/>
      <c r="BX721" s="313"/>
      <c r="BY721" s="315"/>
    </row>
    <row r="722">
      <c r="BA722" s="313"/>
      <c r="BG722" s="313"/>
      <c r="BX722" s="313"/>
      <c r="BY722" s="315"/>
    </row>
    <row r="723">
      <c r="BA723" s="313"/>
      <c r="BG723" s="313"/>
      <c r="BX723" s="313"/>
      <c r="BY723" s="315"/>
    </row>
    <row r="724">
      <c r="BA724" s="313"/>
      <c r="BG724" s="313"/>
      <c r="BX724" s="313"/>
      <c r="BY724" s="315"/>
    </row>
    <row r="725">
      <c r="BA725" s="313"/>
      <c r="BG725" s="313"/>
      <c r="BX725" s="313"/>
      <c r="BY725" s="315"/>
    </row>
    <row r="726">
      <c r="BA726" s="313"/>
      <c r="BG726" s="313"/>
      <c r="BX726" s="313"/>
      <c r="BY726" s="315"/>
    </row>
    <row r="727">
      <c r="BA727" s="313"/>
      <c r="BG727" s="313"/>
      <c r="BX727" s="313"/>
      <c r="BY727" s="315"/>
    </row>
    <row r="728">
      <c r="BA728" s="313"/>
      <c r="BG728" s="313"/>
      <c r="BX728" s="313"/>
      <c r="BY728" s="315"/>
    </row>
    <row r="729">
      <c r="BA729" s="313"/>
      <c r="BG729" s="313"/>
      <c r="BX729" s="313"/>
      <c r="BY729" s="315"/>
    </row>
    <row r="730">
      <c r="BA730" s="313"/>
      <c r="BG730" s="313"/>
      <c r="BX730" s="313"/>
      <c r="BY730" s="315"/>
    </row>
    <row r="731">
      <c r="BA731" s="313"/>
      <c r="BG731" s="313"/>
      <c r="BX731" s="313"/>
      <c r="BY731" s="315"/>
    </row>
    <row r="732">
      <c r="BA732" s="313"/>
      <c r="BG732" s="313"/>
      <c r="BX732" s="313"/>
      <c r="BY732" s="315"/>
    </row>
    <row r="733">
      <c r="BA733" s="313"/>
      <c r="BG733" s="313"/>
      <c r="BX733" s="313"/>
      <c r="BY733" s="315"/>
    </row>
    <row r="734">
      <c r="BA734" s="313"/>
      <c r="BG734" s="313"/>
      <c r="BX734" s="313"/>
      <c r="BY734" s="315"/>
    </row>
    <row r="735">
      <c r="BA735" s="313"/>
      <c r="BG735" s="313"/>
      <c r="BX735" s="313"/>
      <c r="BY735" s="315"/>
    </row>
    <row r="736">
      <c r="BA736" s="313"/>
      <c r="BG736" s="313"/>
      <c r="BX736" s="313"/>
      <c r="BY736" s="315"/>
    </row>
    <row r="737">
      <c r="BA737" s="313"/>
      <c r="BG737" s="313"/>
      <c r="BX737" s="313"/>
      <c r="BY737" s="315"/>
    </row>
    <row r="738">
      <c r="BA738" s="313"/>
      <c r="BG738" s="313"/>
      <c r="BX738" s="313"/>
      <c r="BY738" s="315"/>
    </row>
    <row r="739">
      <c r="BA739" s="313"/>
      <c r="BG739" s="313"/>
      <c r="BX739" s="313"/>
      <c r="BY739" s="315"/>
    </row>
    <row r="740">
      <c r="BA740" s="313"/>
      <c r="BG740" s="313"/>
      <c r="BX740" s="313"/>
      <c r="BY740" s="315"/>
    </row>
    <row r="741">
      <c r="BA741" s="313"/>
      <c r="BG741" s="313"/>
      <c r="BX741" s="313"/>
      <c r="BY741" s="315"/>
    </row>
    <row r="742">
      <c r="BA742" s="313"/>
      <c r="BG742" s="313"/>
      <c r="BX742" s="313"/>
      <c r="BY742" s="315"/>
    </row>
    <row r="743">
      <c r="BA743" s="313"/>
      <c r="BG743" s="313"/>
      <c r="BX743" s="313"/>
      <c r="BY743" s="315"/>
    </row>
    <row r="744">
      <c r="BA744" s="313"/>
      <c r="BG744" s="313"/>
      <c r="BX744" s="313"/>
      <c r="BY744" s="315"/>
    </row>
    <row r="745">
      <c r="BA745" s="313"/>
      <c r="BG745" s="313"/>
      <c r="BX745" s="313"/>
      <c r="BY745" s="315"/>
    </row>
    <row r="746">
      <c r="BA746" s="313"/>
      <c r="BG746" s="313"/>
      <c r="BX746" s="313"/>
      <c r="BY746" s="315"/>
    </row>
    <row r="747">
      <c r="BA747" s="313"/>
      <c r="BG747" s="313"/>
      <c r="BX747" s="313"/>
      <c r="BY747" s="315"/>
    </row>
    <row r="748">
      <c r="BA748" s="313"/>
      <c r="BG748" s="313"/>
      <c r="BX748" s="313"/>
      <c r="BY748" s="315"/>
    </row>
    <row r="749">
      <c r="BA749" s="313"/>
      <c r="BG749" s="313"/>
      <c r="BX749" s="313"/>
      <c r="BY749" s="315"/>
    </row>
    <row r="750">
      <c r="BA750" s="313"/>
      <c r="BG750" s="313"/>
      <c r="BX750" s="313"/>
      <c r="BY750" s="315"/>
    </row>
    <row r="751">
      <c r="BA751" s="313"/>
      <c r="BG751" s="313"/>
      <c r="BX751" s="313"/>
      <c r="BY751" s="315"/>
    </row>
    <row r="752">
      <c r="BA752" s="313"/>
      <c r="BG752" s="313"/>
      <c r="BX752" s="313"/>
      <c r="BY752" s="315"/>
    </row>
    <row r="753">
      <c r="BA753" s="313"/>
      <c r="BG753" s="313"/>
      <c r="BX753" s="313"/>
      <c r="BY753" s="315"/>
    </row>
    <row r="754">
      <c r="BA754" s="313"/>
      <c r="BG754" s="313"/>
      <c r="BX754" s="313"/>
      <c r="BY754" s="315"/>
    </row>
    <row r="755">
      <c r="BA755" s="313"/>
      <c r="BG755" s="313"/>
      <c r="BX755" s="313"/>
      <c r="BY755" s="315"/>
    </row>
    <row r="756">
      <c r="BA756" s="313"/>
      <c r="BG756" s="313"/>
      <c r="BX756" s="313"/>
      <c r="BY756" s="315"/>
    </row>
    <row r="757">
      <c r="BA757" s="313"/>
      <c r="BG757" s="313"/>
      <c r="BX757" s="313"/>
      <c r="BY757" s="315"/>
    </row>
    <row r="758">
      <c r="BA758" s="313"/>
      <c r="BG758" s="313"/>
      <c r="BX758" s="313"/>
      <c r="BY758" s="315"/>
    </row>
    <row r="759">
      <c r="BA759" s="313"/>
      <c r="BG759" s="313"/>
      <c r="BX759" s="313"/>
      <c r="BY759" s="315"/>
    </row>
    <row r="760">
      <c r="BA760" s="313"/>
      <c r="BG760" s="313"/>
      <c r="BX760" s="313"/>
      <c r="BY760" s="315"/>
    </row>
    <row r="761">
      <c r="BA761" s="313"/>
      <c r="BG761" s="313"/>
      <c r="BX761" s="313"/>
      <c r="BY761" s="315"/>
    </row>
    <row r="762">
      <c r="BA762" s="313"/>
      <c r="BG762" s="313"/>
      <c r="BX762" s="313"/>
      <c r="BY762" s="315"/>
    </row>
    <row r="763">
      <c r="BA763" s="313"/>
      <c r="BG763" s="313"/>
      <c r="BX763" s="313"/>
      <c r="BY763" s="315"/>
    </row>
    <row r="764">
      <c r="BA764" s="313"/>
      <c r="BG764" s="313"/>
      <c r="BX764" s="313"/>
      <c r="BY764" s="315"/>
    </row>
    <row r="765">
      <c r="BA765" s="313"/>
      <c r="BG765" s="313"/>
      <c r="BX765" s="313"/>
      <c r="BY765" s="315"/>
    </row>
    <row r="766">
      <c r="BA766" s="313"/>
      <c r="BG766" s="313"/>
      <c r="BX766" s="313"/>
      <c r="BY766" s="315"/>
    </row>
    <row r="767">
      <c r="BA767" s="313"/>
      <c r="BG767" s="313"/>
      <c r="BX767" s="313"/>
      <c r="BY767" s="315"/>
    </row>
    <row r="768">
      <c r="BA768" s="313"/>
      <c r="BG768" s="313"/>
      <c r="BX768" s="313"/>
      <c r="BY768" s="315"/>
    </row>
    <row r="769">
      <c r="BA769" s="313"/>
      <c r="BG769" s="313"/>
      <c r="BX769" s="313"/>
      <c r="BY769" s="315"/>
    </row>
    <row r="770">
      <c r="BA770" s="313"/>
      <c r="BG770" s="313"/>
      <c r="BX770" s="313"/>
      <c r="BY770" s="315"/>
    </row>
    <row r="771">
      <c r="BA771" s="313"/>
      <c r="BG771" s="313"/>
      <c r="BX771" s="313"/>
      <c r="BY771" s="315"/>
    </row>
    <row r="772">
      <c r="BA772" s="313"/>
      <c r="BG772" s="313"/>
      <c r="BX772" s="313"/>
      <c r="BY772" s="315"/>
    </row>
    <row r="773">
      <c r="BA773" s="313"/>
      <c r="BG773" s="313"/>
      <c r="BX773" s="313"/>
      <c r="BY773" s="315"/>
    </row>
    <row r="774">
      <c r="BA774" s="313"/>
      <c r="BG774" s="313"/>
      <c r="BX774" s="313"/>
      <c r="BY774" s="315"/>
    </row>
    <row r="775">
      <c r="BA775" s="313"/>
      <c r="BG775" s="313"/>
      <c r="BX775" s="313"/>
      <c r="BY775" s="315"/>
    </row>
    <row r="776">
      <c r="BA776" s="313"/>
      <c r="BG776" s="313"/>
      <c r="BX776" s="313"/>
      <c r="BY776" s="315"/>
    </row>
    <row r="777">
      <c r="BA777" s="313"/>
      <c r="BG777" s="313"/>
      <c r="BX777" s="313"/>
      <c r="BY777" s="315"/>
    </row>
    <row r="778">
      <c r="BA778" s="313"/>
      <c r="BG778" s="313"/>
      <c r="BX778" s="313"/>
      <c r="BY778" s="315"/>
    </row>
    <row r="779">
      <c r="BA779" s="313"/>
      <c r="BG779" s="313"/>
      <c r="BX779" s="313"/>
      <c r="BY779" s="315"/>
    </row>
    <row r="780">
      <c r="BA780" s="313"/>
      <c r="BG780" s="313"/>
      <c r="BX780" s="313"/>
      <c r="BY780" s="315"/>
    </row>
    <row r="781">
      <c r="BA781" s="313"/>
      <c r="BG781" s="313"/>
      <c r="BX781" s="313"/>
      <c r="BY781" s="315"/>
    </row>
    <row r="782">
      <c r="BA782" s="313"/>
      <c r="BG782" s="313"/>
      <c r="BX782" s="313"/>
      <c r="BY782" s="315"/>
    </row>
    <row r="783">
      <c r="BA783" s="313"/>
      <c r="BG783" s="313"/>
      <c r="BX783" s="313"/>
      <c r="BY783" s="315"/>
    </row>
    <row r="784">
      <c r="BA784" s="313"/>
      <c r="BG784" s="313"/>
      <c r="BX784" s="313"/>
      <c r="BY784" s="315"/>
    </row>
    <row r="785">
      <c r="BA785" s="313"/>
      <c r="BG785" s="313"/>
      <c r="BX785" s="313"/>
      <c r="BY785" s="315"/>
    </row>
    <row r="786">
      <c r="BA786" s="313"/>
      <c r="BG786" s="313"/>
      <c r="BX786" s="313"/>
      <c r="BY786" s="315"/>
    </row>
    <row r="787">
      <c r="BA787" s="313"/>
      <c r="BG787" s="313"/>
      <c r="BX787" s="313"/>
      <c r="BY787" s="315"/>
    </row>
    <row r="788">
      <c r="BA788" s="313"/>
      <c r="BG788" s="313"/>
      <c r="BX788" s="313"/>
      <c r="BY788" s="315"/>
    </row>
    <row r="789">
      <c r="BA789" s="313"/>
      <c r="BG789" s="313"/>
      <c r="BX789" s="313"/>
      <c r="BY789" s="315"/>
    </row>
    <row r="790">
      <c r="BA790" s="313"/>
      <c r="BG790" s="313"/>
      <c r="BX790" s="313"/>
      <c r="BY790" s="315"/>
    </row>
    <row r="791">
      <c r="BA791" s="313"/>
      <c r="BG791" s="313"/>
      <c r="BX791" s="313"/>
      <c r="BY791" s="315"/>
    </row>
    <row r="792">
      <c r="BA792" s="313"/>
      <c r="BG792" s="313"/>
      <c r="BX792" s="313"/>
      <c r="BY792" s="315"/>
    </row>
    <row r="793">
      <c r="BA793" s="313"/>
      <c r="BG793" s="313"/>
      <c r="BX793" s="313"/>
      <c r="BY793" s="315"/>
    </row>
    <row r="794">
      <c r="BA794" s="313"/>
      <c r="BG794" s="313"/>
      <c r="BX794" s="313"/>
      <c r="BY794" s="315"/>
    </row>
    <row r="795">
      <c r="BA795" s="313"/>
      <c r="BG795" s="313"/>
      <c r="BX795" s="313"/>
      <c r="BY795" s="315"/>
    </row>
    <row r="796">
      <c r="BA796" s="313"/>
      <c r="BG796" s="313"/>
      <c r="BX796" s="313"/>
      <c r="BY796" s="315"/>
    </row>
    <row r="797">
      <c r="BA797" s="313"/>
      <c r="BG797" s="313"/>
      <c r="BX797" s="313"/>
      <c r="BY797" s="315"/>
    </row>
    <row r="798">
      <c r="BA798" s="313"/>
      <c r="BG798" s="313"/>
      <c r="BX798" s="313"/>
      <c r="BY798" s="315"/>
    </row>
    <row r="799">
      <c r="BA799" s="313"/>
      <c r="BG799" s="313"/>
      <c r="BX799" s="313"/>
      <c r="BY799" s="315"/>
    </row>
    <row r="800">
      <c r="BA800" s="313"/>
      <c r="BG800" s="313"/>
      <c r="BX800" s="313"/>
      <c r="BY800" s="315"/>
    </row>
    <row r="801">
      <c r="BA801" s="313"/>
      <c r="BG801" s="313"/>
      <c r="BX801" s="313"/>
      <c r="BY801" s="315"/>
    </row>
    <row r="802">
      <c r="BA802" s="313"/>
      <c r="BG802" s="313"/>
      <c r="BX802" s="313"/>
      <c r="BY802" s="315"/>
    </row>
    <row r="803">
      <c r="BA803" s="313"/>
      <c r="BG803" s="313"/>
      <c r="BX803" s="313"/>
      <c r="BY803" s="315"/>
    </row>
    <row r="804">
      <c r="BA804" s="313"/>
      <c r="BG804" s="313"/>
      <c r="BX804" s="313"/>
      <c r="BY804" s="315"/>
    </row>
    <row r="805">
      <c r="BA805" s="313"/>
      <c r="BG805" s="313"/>
      <c r="BX805" s="313"/>
      <c r="BY805" s="315"/>
    </row>
    <row r="806">
      <c r="BA806" s="313"/>
      <c r="BG806" s="313"/>
      <c r="BX806" s="313"/>
      <c r="BY806" s="315"/>
    </row>
    <row r="807">
      <c r="BA807" s="313"/>
      <c r="BG807" s="313"/>
      <c r="BX807" s="313"/>
      <c r="BY807" s="315"/>
    </row>
    <row r="808">
      <c r="BA808" s="313"/>
      <c r="BG808" s="313"/>
      <c r="BX808" s="313"/>
      <c r="BY808" s="315"/>
    </row>
    <row r="809">
      <c r="BA809" s="313"/>
      <c r="BG809" s="313"/>
      <c r="BX809" s="313"/>
      <c r="BY809" s="315"/>
    </row>
    <row r="810">
      <c r="BA810" s="313"/>
      <c r="BG810" s="313"/>
      <c r="BX810" s="313"/>
      <c r="BY810" s="315"/>
    </row>
    <row r="811">
      <c r="BA811" s="313"/>
      <c r="BG811" s="313"/>
      <c r="BX811" s="313"/>
      <c r="BY811" s="315"/>
    </row>
    <row r="812">
      <c r="BA812" s="313"/>
      <c r="BG812" s="313"/>
      <c r="BX812" s="313"/>
      <c r="BY812" s="315"/>
    </row>
    <row r="813">
      <c r="BA813" s="313"/>
      <c r="BG813" s="313"/>
      <c r="BX813" s="313"/>
      <c r="BY813" s="315"/>
    </row>
    <row r="814">
      <c r="BA814" s="313"/>
      <c r="BG814" s="313"/>
      <c r="BX814" s="313"/>
      <c r="BY814" s="315"/>
    </row>
    <row r="815">
      <c r="BA815" s="313"/>
      <c r="BG815" s="313"/>
      <c r="BX815" s="313"/>
      <c r="BY815" s="315"/>
    </row>
    <row r="816">
      <c r="BA816" s="313"/>
      <c r="BG816" s="313"/>
      <c r="BX816" s="313"/>
      <c r="BY816" s="315"/>
    </row>
    <row r="817">
      <c r="BA817" s="313"/>
      <c r="BG817" s="313"/>
      <c r="BX817" s="313"/>
      <c r="BY817" s="315"/>
    </row>
    <row r="818">
      <c r="BA818" s="313"/>
      <c r="BG818" s="313"/>
      <c r="BX818" s="313"/>
      <c r="BY818" s="315"/>
    </row>
    <row r="819">
      <c r="BA819" s="313"/>
      <c r="BG819" s="313"/>
      <c r="BX819" s="313"/>
      <c r="BY819" s="315"/>
    </row>
    <row r="820">
      <c r="BA820" s="313"/>
      <c r="BG820" s="313"/>
      <c r="BX820" s="313"/>
      <c r="BY820" s="315"/>
    </row>
    <row r="821">
      <c r="BA821" s="313"/>
      <c r="BG821" s="313"/>
      <c r="BX821" s="313"/>
      <c r="BY821" s="315"/>
    </row>
    <row r="822">
      <c r="BA822" s="313"/>
      <c r="BG822" s="313"/>
      <c r="BX822" s="313"/>
      <c r="BY822" s="315"/>
    </row>
    <row r="823">
      <c r="BA823" s="313"/>
      <c r="BG823" s="313"/>
      <c r="BX823" s="313"/>
      <c r="BY823" s="315"/>
    </row>
    <row r="824">
      <c r="BA824" s="313"/>
      <c r="BG824" s="313"/>
      <c r="BX824" s="313"/>
      <c r="BY824" s="315"/>
    </row>
    <row r="825">
      <c r="BA825" s="313"/>
      <c r="BG825" s="313"/>
      <c r="BX825" s="313"/>
      <c r="BY825" s="315"/>
    </row>
    <row r="826">
      <c r="BA826" s="313"/>
      <c r="BG826" s="313"/>
      <c r="BX826" s="313"/>
      <c r="BY826" s="315"/>
    </row>
    <row r="827">
      <c r="BA827" s="313"/>
      <c r="BG827" s="313"/>
      <c r="BX827" s="313"/>
      <c r="BY827" s="315"/>
    </row>
    <row r="828">
      <c r="BA828" s="313"/>
      <c r="BG828" s="313"/>
      <c r="BX828" s="313"/>
      <c r="BY828" s="315"/>
    </row>
    <row r="829">
      <c r="BA829" s="313"/>
      <c r="BG829" s="313"/>
      <c r="BX829" s="313"/>
      <c r="BY829" s="315"/>
    </row>
    <row r="830">
      <c r="BA830" s="313"/>
      <c r="BG830" s="313"/>
      <c r="BX830" s="313"/>
      <c r="BY830" s="315"/>
    </row>
    <row r="831">
      <c r="BA831" s="313"/>
      <c r="BG831" s="313"/>
      <c r="BX831" s="313"/>
      <c r="BY831" s="315"/>
    </row>
    <row r="832">
      <c r="BA832" s="313"/>
      <c r="BG832" s="313"/>
      <c r="BX832" s="313"/>
      <c r="BY832" s="315"/>
    </row>
    <row r="833">
      <c r="BA833" s="313"/>
      <c r="BG833" s="313"/>
      <c r="BX833" s="313"/>
      <c r="BY833" s="315"/>
    </row>
    <row r="834">
      <c r="BA834" s="313"/>
      <c r="BG834" s="313"/>
      <c r="BX834" s="313"/>
      <c r="BY834" s="315"/>
    </row>
    <row r="835">
      <c r="BA835" s="313"/>
      <c r="BG835" s="313"/>
      <c r="BX835" s="313"/>
      <c r="BY835" s="315"/>
    </row>
    <row r="836">
      <c r="BA836" s="313"/>
      <c r="BG836" s="313"/>
      <c r="BX836" s="313"/>
      <c r="BY836" s="315"/>
    </row>
    <row r="837">
      <c r="BA837" s="313"/>
      <c r="BG837" s="313"/>
      <c r="BX837" s="313"/>
      <c r="BY837" s="315"/>
    </row>
    <row r="838">
      <c r="BA838" s="313"/>
      <c r="BG838" s="313"/>
      <c r="BX838" s="313"/>
      <c r="BY838" s="315"/>
    </row>
    <row r="839">
      <c r="BA839" s="313"/>
      <c r="BG839" s="313"/>
      <c r="BX839" s="313"/>
      <c r="BY839" s="315"/>
    </row>
    <row r="840">
      <c r="BA840" s="313"/>
      <c r="BG840" s="313"/>
      <c r="BX840" s="313"/>
      <c r="BY840" s="315"/>
    </row>
    <row r="841">
      <c r="BA841" s="313"/>
      <c r="BG841" s="313"/>
      <c r="BX841" s="313"/>
      <c r="BY841" s="315"/>
    </row>
    <row r="842">
      <c r="BA842" s="313"/>
      <c r="BG842" s="313"/>
      <c r="BX842" s="313"/>
      <c r="BY842" s="315"/>
    </row>
    <row r="843">
      <c r="BA843" s="313"/>
      <c r="BG843" s="313"/>
      <c r="BX843" s="313"/>
      <c r="BY843" s="315"/>
    </row>
    <row r="844">
      <c r="BA844" s="313"/>
      <c r="BG844" s="313"/>
      <c r="BX844" s="313"/>
      <c r="BY844" s="315"/>
    </row>
    <row r="845">
      <c r="BA845" s="313"/>
      <c r="BG845" s="313"/>
      <c r="BX845" s="313"/>
      <c r="BY845" s="315"/>
    </row>
    <row r="846">
      <c r="BA846" s="313"/>
      <c r="BG846" s="313"/>
      <c r="BX846" s="313"/>
      <c r="BY846" s="315"/>
    </row>
    <row r="847">
      <c r="BA847" s="313"/>
      <c r="BG847" s="313"/>
      <c r="BX847" s="313"/>
      <c r="BY847" s="315"/>
    </row>
    <row r="848">
      <c r="BA848" s="313"/>
      <c r="BG848" s="313"/>
      <c r="BX848" s="313"/>
      <c r="BY848" s="315"/>
    </row>
    <row r="849">
      <c r="BA849" s="313"/>
      <c r="BG849" s="313"/>
      <c r="BX849" s="313"/>
      <c r="BY849" s="315"/>
    </row>
    <row r="850">
      <c r="BA850" s="313"/>
      <c r="BG850" s="313"/>
      <c r="BX850" s="313"/>
      <c r="BY850" s="315"/>
    </row>
    <row r="851">
      <c r="BA851" s="313"/>
      <c r="BG851" s="313"/>
      <c r="BX851" s="313"/>
      <c r="BY851" s="315"/>
    </row>
    <row r="852">
      <c r="BA852" s="313"/>
      <c r="BG852" s="313"/>
      <c r="BX852" s="313"/>
      <c r="BY852" s="315"/>
    </row>
    <row r="853">
      <c r="BA853" s="313"/>
      <c r="BG853" s="313"/>
      <c r="BX853" s="313"/>
      <c r="BY853" s="315"/>
    </row>
    <row r="854">
      <c r="BA854" s="313"/>
      <c r="BG854" s="313"/>
      <c r="BX854" s="313"/>
      <c r="BY854" s="315"/>
    </row>
    <row r="855">
      <c r="BA855" s="313"/>
      <c r="BG855" s="313"/>
      <c r="BX855" s="313"/>
      <c r="BY855" s="315"/>
    </row>
    <row r="856">
      <c r="BA856" s="313"/>
      <c r="BG856" s="313"/>
      <c r="BX856" s="313"/>
      <c r="BY856" s="315"/>
    </row>
    <row r="857">
      <c r="BA857" s="313"/>
      <c r="BG857" s="313"/>
      <c r="BX857" s="313"/>
      <c r="BY857" s="315"/>
    </row>
    <row r="858">
      <c r="BA858" s="313"/>
      <c r="BG858" s="313"/>
      <c r="BX858" s="313"/>
      <c r="BY858" s="315"/>
    </row>
    <row r="859">
      <c r="BA859" s="313"/>
      <c r="BG859" s="313"/>
      <c r="BX859" s="313"/>
      <c r="BY859" s="315"/>
    </row>
    <row r="860">
      <c r="BA860" s="313"/>
      <c r="BG860" s="313"/>
      <c r="BX860" s="313"/>
      <c r="BY860" s="315"/>
    </row>
    <row r="861">
      <c r="BA861" s="313"/>
      <c r="BG861" s="313"/>
      <c r="BX861" s="313"/>
      <c r="BY861" s="315"/>
    </row>
    <row r="862">
      <c r="BA862" s="313"/>
      <c r="BG862" s="313"/>
      <c r="BX862" s="313"/>
      <c r="BY862" s="315"/>
    </row>
    <row r="863">
      <c r="BA863" s="313"/>
      <c r="BG863" s="313"/>
      <c r="BX863" s="313"/>
      <c r="BY863" s="315"/>
    </row>
    <row r="864">
      <c r="BA864" s="313"/>
      <c r="BG864" s="313"/>
      <c r="BX864" s="313"/>
      <c r="BY864" s="315"/>
    </row>
    <row r="865">
      <c r="BA865" s="313"/>
      <c r="BG865" s="313"/>
      <c r="BX865" s="313"/>
      <c r="BY865" s="315"/>
    </row>
    <row r="866">
      <c r="BA866" s="313"/>
      <c r="BG866" s="313"/>
      <c r="BX866" s="313"/>
      <c r="BY866" s="315"/>
    </row>
    <row r="867">
      <c r="BA867" s="313"/>
      <c r="BG867" s="313"/>
      <c r="BX867" s="313"/>
      <c r="BY867" s="315"/>
    </row>
    <row r="868">
      <c r="BA868" s="313"/>
      <c r="BG868" s="313"/>
      <c r="BX868" s="313"/>
      <c r="BY868" s="315"/>
    </row>
    <row r="869">
      <c r="BA869" s="313"/>
      <c r="BG869" s="313"/>
      <c r="BX869" s="313"/>
      <c r="BY869" s="315"/>
    </row>
    <row r="870">
      <c r="BA870" s="313"/>
      <c r="BG870" s="313"/>
      <c r="BX870" s="313"/>
      <c r="BY870" s="315"/>
    </row>
    <row r="871">
      <c r="BA871" s="313"/>
      <c r="BG871" s="313"/>
      <c r="BX871" s="313"/>
      <c r="BY871" s="315"/>
    </row>
    <row r="872">
      <c r="BA872" s="313"/>
      <c r="BG872" s="313"/>
      <c r="BX872" s="313"/>
      <c r="BY872" s="315"/>
    </row>
    <row r="873">
      <c r="BA873" s="313"/>
      <c r="BG873" s="313"/>
      <c r="BX873" s="313"/>
      <c r="BY873" s="315"/>
    </row>
    <row r="874">
      <c r="BA874" s="313"/>
      <c r="BG874" s="313"/>
      <c r="BX874" s="313"/>
      <c r="BY874" s="315"/>
    </row>
    <row r="875">
      <c r="BA875" s="313"/>
      <c r="BG875" s="313"/>
      <c r="BX875" s="313"/>
      <c r="BY875" s="315"/>
    </row>
    <row r="876">
      <c r="BA876" s="313"/>
      <c r="BG876" s="313"/>
      <c r="BX876" s="313"/>
      <c r="BY876" s="315"/>
    </row>
    <row r="877">
      <c r="BA877" s="313"/>
      <c r="BG877" s="313"/>
      <c r="BX877" s="313"/>
      <c r="BY877" s="315"/>
    </row>
    <row r="878">
      <c r="BA878" s="313"/>
      <c r="BG878" s="313"/>
      <c r="BX878" s="313"/>
      <c r="BY878" s="315"/>
    </row>
    <row r="879">
      <c r="BA879" s="313"/>
      <c r="BG879" s="313"/>
      <c r="BX879" s="313"/>
      <c r="BY879" s="315"/>
    </row>
    <row r="880">
      <c r="BA880" s="313"/>
      <c r="BG880" s="313"/>
      <c r="BX880" s="313"/>
      <c r="BY880" s="315"/>
    </row>
    <row r="881">
      <c r="BA881" s="313"/>
      <c r="BG881" s="313"/>
      <c r="BX881" s="313"/>
      <c r="BY881" s="315"/>
    </row>
    <row r="882">
      <c r="BA882" s="313"/>
      <c r="BG882" s="313"/>
      <c r="BX882" s="313"/>
      <c r="BY882" s="315"/>
    </row>
    <row r="883">
      <c r="BA883" s="313"/>
      <c r="BG883" s="313"/>
      <c r="BX883" s="313"/>
      <c r="BY883" s="315"/>
    </row>
    <row r="884">
      <c r="BA884" s="313"/>
      <c r="BG884" s="313"/>
      <c r="BX884" s="313"/>
      <c r="BY884" s="315"/>
    </row>
    <row r="885">
      <c r="BA885" s="313"/>
      <c r="BG885" s="313"/>
      <c r="BX885" s="313"/>
      <c r="BY885" s="315"/>
    </row>
    <row r="886">
      <c r="BA886" s="313"/>
      <c r="BG886" s="313"/>
      <c r="BX886" s="313"/>
      <c r="BY886" s="315"/>
    </row>
    <row r="887">
      <c r="BA887" s="313"/>
      <c r="BG887" s="313"/>
      <c r="BX887" s="313"/>
      <c r="BY887" s="315"/>
    </row>
    <row r="888">
      <c r="BA888" s="313"/>
      <c r="BG888" s="313"/>
      <c r="BX888" s="313"/>
      <c r="BY888" s="315"/>
    </row>
    <row r="889">
      <c r="BA889" s="313"/>
      <c r="BG889" s="313"/>
      <c r="BX889" s="313"/>
      <c r="BY889" s="315"/>
    </row>
    <row r="890">
      <c r="BA890" s="313"/>
      <c r="BG890" s="313"/>
      <c r="BX890" s="313"/>
      <c r="BY890" s="315"/>
    </row>
    <row r="891">
      <c r="BA891" s="313"/>
      <c r="BG891" s="313"/>
      <c r="BX891" s="313"/>
      <c r="BY891" s="315"/>
    </row>
    <row r="892">
      <c r="BA892" s="313"/>
      <c r="BG892" s="313"/>
      <c r="BX892" s="313"/>
      <c r="BY892" s="315"/>
    </row>
    <row r="893">
      <c r="BA893" s="313"/>
      <c r="BG893" s="313"/>
      <c r="BX893" s="313"/>
      <c r="BY893" s="315"/>
    </row>
    <row r="894">
      <c r="BA894" s="313"/>
      <c r="BG894" s="313"/>
      <c r="BX894" s="313"/>
      <c r="BY894" s="315"/>
    </row>
    <row r="895">
      <c r="BA895" s="313"/>
      <c r="BG895" s="313"/>
      <c r="BX895" s="313"/>
      <c r="BY895" s="315"/>
    </row>
    <row r="896">
      <c r="BA896" s="313"/>
      <c r="BG896" s="313"/>
      <c r="BX896" s="313"/>
      <c r="BY896" s="315"/>
    </row>
    <row r="897">
      <c r="BA897" s="313"/>
      <c r="BG897" s="313"/>
      <c r="BX897" s="313"/>
      <c r="BY897" s="315"/>
    </row>
    <row r="898">
      <c r="BA898" s="313"/>
      <c r="BG898" s="313"/>
      <c r="BX898" s="313"/>
      <c r="BY898" s="315"/>
    </row>
    <row r="899">
      <c r="BA899" s="313"/>
      <c r="BG899" s="313"/>
      <c r="BX899" s="313"/>
      <c r="BY899" s="315"/>
    </row>
    <row r="900">
      <c r="BA900" s="313"/>
      <c r="BG900" s="313"/>
      <c r="BX900" s="313"/>
      <c r="BY900" s="315"/>
    </row>
    <row r="901">
      <c r="BA901" s="313"/>
      <c r="BG901" s="313"/>
      <c r="BX901" s="313"/>
      <c r="BY901" s="315"/>
    </row>
    <row r="902">
      <c r="BA902" s="313"/>
      <c r="BG902" s="313"/>
      <c r="BX902" s="313"/>
      <c r="BY902" s="315"/>
    </row>
    <row r="903">
      <c r="BA903" s="313"/>
      <c r="BG903" s="313"/>
      <c r="BX903" s="313"/>
      <c r="BY903" s="315"/>
    </row>
    <row r="904">
      <c r="BA904" s="313"/>
      <c r="BG904" s="313"/>
      <c r="BX904" s="313"/>
      <c r="BY904" s="315"/>
    </row>
    <row r="905">
      <c r="BA905" s="313"/>
      <c r="BG905" s="313"/>
      <c r="BX905" s="313"/>
      <c r="BY905" s="315"/>
    </row>
    <row r="906">
      <c r="BA906" s="313"/>
      <c r="BG906" s="313"/>
      <c r="BX906" s="313"/>
      <c r="BY906" s="315"/>
    </row>
    <row r="907">
      <c r="BA907" s="313"/>
      <c r="BG907" s="313"/>
      <c r="BX907" s="313"/>
      <c r="BY907" s="315"/>
    </row>
    <row r="908">
      <c r="BA908" s="313"/>
      <c r="BG908" s="313"/>
      <c r="BX908" s="313"/>
      <c r="BY908" s="315"/>
    </row>
    <row r="909">
      <c r="BA909" s="313"/>
      <c r="BG909" s="313"/>
      <c r="BX909" s="313"/>
      <c r="BY909" s="315"/>
    </row>
    <row r="910">
      <c r="BA910" s="313"/>
      <c r="BG910" s="313"/>
      <c r="BX910" s="313"/>
      <c r="BY910" s="315"/>
    </row>
    <row r="911">
      <c r="BA911" s="313"/>
      <c r="BG911" s="313"/>
      <c r="BX911" s="313"/>
      <c r="BY911" s="315"/>
    </row>
    <row r="912">
      <c r="BA912" s="313"/>
      <c r="BG912" s="313"/>
      <c r="BX912" s="313"/>
      <c r="BY912" s="315"/>
    </row>
    <row r="913">
      <c r="BA913" s="313"/>
      <c r="BG913" s="313"/>
      <c r="BX913" s="313"/>
      <c r="BY913" s="315"/>
    </row>
    <row r="914">
      <c r="BA914" s="313"/>
      <c r="BG914" s="313"/>
      <c r="BX914" s="313"/>
      <c r="BY914" s="315"/>
    </row>
    <row r="915">
      <c r="BA915" s="313"/>
      <c r="BG915" s="313"/>
      <c r="BX915" s="313"/>
      <c r="BY915" s="315"/>
    </row>
    <row r="916">
      <c r="BA916" s="313"/>
      <c r="BG916" s="313"/>
      <c r="BX916" s="313"/>
      <c r="BY916" s="315"/>
    </row>
    <row r="917">
      <c r="BA917" s="313"/>
      <c r="BG917" s="313"/>
      <c r="BX917" s="313"/>
      <c r="BY917" s="315"/>
    </row>
    <row r="918">
      <c r="BA918" s="313"/>
      <c r="BG918" s="313"/>
      <c r="BX918" s="313"/>
      <c r="BY918" s="315"/>
    </row>
    <row r="919">
      <c r="BA919" s="313"/>
      <c r="BG919" s="313"/>
      <c r="BX919" s="313"/>
      <c r="BY919" s="315"/>
    </row>
    <row r="920">
      <c r="BA920" s="313"/>
      <c r="BG920" s="313"/>
      <c r="BX920" s="313"/>
      <c r="BY920" s="315"/>
    </row>
    <row r="921">
      <c r="BA921" s="313"/>
      <c r="BG921" s="313"/>
      <c r="BX921" s="313"/>
      <c r="BY921" s="315"/>
    </row>
    <row r="922">
      <c r="BA922" s="313"/>
      <c r="BG922" s="313"/>
      <c r="BX922" s="313"/>
      <c r="BY922" s="315"/>
    </row>
    <row r="923">
      <c r="BA923" s="313"/>
      <c r="BG923" s="313"/>
      <c r="BX923" s="313"/>
      <c r="BY923" s="315"/>
    </row>
    <row r="924">
      <c r="BA924" s="313"/>
      <c r="BG924" s="313"/>
      <c r="BX924" s="313"/>
      <c r="BY924" s="315"/>
    </row>
    <row r="925">
      <c r="BA925" s="313"/>
      <c r="BG925" s="313"/>
      <c r="BX925" s="313"/>
      <c r="BY925" s="315"/>
    </row>
    <row r="926">
      <c r="BA926" s="313"/>
      <c r="BG926" s="313"/>
      <c r="BX926" s="313"/>
      <c r="BY926" s="315"/>
    </row>
    <row r="927">
      <c r="BA927" s="313"/>
      <c r="BG927" s="313"/>
      <c r="BX927" s="313"/>
      <c r="BY927" s="315"/>
    </row>
    <row r="928">
      <c r="BA928" s="313"/>
      <c r="BG928" s="313"/>
      <c r="BX928" s="313"/>
      <c r="BY928" s="315"/>
    </row>
    <row r="929">
      <c r="BA929" s="313"/>
      <c r="BG929" s="313"/>
      <c r="BX929" s="313"/>
      <c r="BY929" s="315"/>
    </row>
    <row r="930">
      <c r="BA930" s="313"/>
      <c r="BG930" s="313"/>
      <c r="BX930" s="313"/>
      <c r="BY930" s="315"/>
    </row>
    <row r="931">
      <c r="BA931" s="313"/>
      <c r="BG931" s="313"/>
      <c r="BX931" s="313"/>
      <c r="BY931" s="315"/>
    </row>
    <row r="932">
      <c r="BA932" s="313"/>
      <c r="BG932" s="313"/>
      <c r="BX932" s="313"/>
      <c r="BY932" s="315"/>
    </row>
    <row r="933">
      <c r="BA933" s="313"/>
      <c r="BG933" s="313"/>
      <c r="BX933" s="313"/>
      <c r="BY933" s="315"/>
    </row>
    <row r="934">
      <c r="BA934" s="313"/>
      <c r="BG934" s="313"/>
      <c r="BX934" s="313"/>
      <c r="BY934" s="315"/>
    </row>
    <row r="935">
      <c r="BA935" s="313"/>
      <c r="BG935" s="313"/>
      <c r="BX935" s="313"/>
      <c r="BY935" s="315"/>
    </row>
    <row r="936">
      <c r="BA936" s="313"/>
      <c r="BG936" s="313"/>
      <c r="BX936" s="313"/>
      <c r="BY936" s="315"/>
    </row>
    <row r="937">
      <c r="BA937" s="313"/>
      <c r="BG937" s="313"/>
      <c r="BX937" s="313"/>
      <c r="BY937" s="315"/>
    </row>
    <row r="938">
      <c r="BA938" s="313"/>
      <c r="BG938" s="313"/>
      <c r="BX938" s="313"/>
      <c r="BY938" s="315"/>
    </row>
    <row r="939">
      <c r="BA939" s="313"/>
      <c r="BG939" s="313"/>
      <c r="BX939" s="313"/>
      <c r="BY939" s="315"/>
    </row>
    <row r="940">
      <c r="BA940" s="313"/>
      <c r="BG940" s="313"/>
      <c r="BX940" s="313"/>
      <c r="BY940" s="315"/>
    </row>
    <row r="941">
      <c r="BA941" s="313"/>
      <c r="BG941" s="313"/>
      <c r="BX941" s="313"/>
      <c r="BY941" s="315"/>
    </row>
    <row r="942">
      <c r="BA942" s="313"/>
      <c r="BG942" s="313"/>
      <c r="BX942" s="313"/>
      <c r="BY942" s="315"/>
    </row>
    <row r="943">
      <c r="BA943" s="313"/>
      <c r="BG943" s="313"/>
      <c r="BX943" s="313"/>
      <c r="BY943" s="315"/>
    </row>
    <row r="944">
      <c r="BA944" s="313"/>
      <c r="BG944" s="313"/>
      <c r="BX944" s="313"/>
      <c r="BY944" s="315"/>
    </row>
    <row r="945">
      <c r="BA945" s="313"/>
      <c r="BG945" s="313"/>
      <c r="BX945" s="313"/>
      <c r="BY945" s="315"/>
    </row>
    <row r="946">
      <c r="BA946" s="313"/>
      <c r="BG946" s="313"/>
      <c r="BX946" s="313"/>
      <c r="BY946" s="315"/>
    </row>
    <row r="947">
      <c r="BA947" s="313"/>
      <c r="BG947" s="313"/>
      <c r="BX947" s="313"/>
      <c r="BY947" s="315"/>
    </row>
    <row r="948">
      <c r="BA948" s="313"/>
      <c r="BG948" s="313"/>
      <c r="BX948" s="313"/>
      <c r="BY948" s="315"/>
    </row>
    <row r="949">
      <c r="BA949" s="313"/>
      <c r="BG949" s="313"/>
      <c r="BX949" s="313"/>
      <c r="BY949" s="315"/>
    </row>
    <row r="950">
      <c r="BA950" s="313"/>
      <c r="BG950" s="313"/>
      <c r="BX950" s="313"/>
      <c r="BY950" s="315"/>
    </row>
    <row r="951">
      <c r="BA951" s="313"/>
      <c r="BG951" s="313"/>
      <c r="BX951" s="313"/>
      <c r="BY951" s="315"/>
    </row>
    <row r="952">
      <c r="BA952" s="313"/>
      <c r="BG952" s="313"/>
      <c r="BX952" s="313"/>
      <c r="BY952" s="315"/>
    </row>
    <row r="953">
      <c r="BA953" s="313"/>
      <c r="BG953" s="313"/>
      <c r="BX953" s="313"/>
      <c r="BY953" s="315"/>
    </row>
    <row r="954">
      <c r="BA954" s="313"/>
      <c r="BG954" s="313"/>
      <c r="BX954" s="313"/>
      <c r="BY954" s="315"/>
    </row>
    <row r="955">
      <c r="BA955" s="313"/>
      <c r="BG955" s="313"/>
      <c r="BX955" s="313"/>
      <c r="BY955" s="315"/>
    </row>
    <row r="956">
      <c r="BA956" s="313"/>
      <c r="BG956" s="313"/>
      <c r="BX956" s="313"/>
      <c r="BY956" s="315"/>
    </row>
    <row r="957">
      <c r="BA957" s="313"/>
      <c r="BG957" s="313"/>
      <c r="BX957" s="313"/>
      <c r="BY957" s="315"/>
    </row>
    <row r="958">
      <c r="BA958" s="313"/>
      <c r="BG958" s="313"/>
      <c r="BX958" s="313"/>
      <c r="BY958" s="315"/>
    </row>
    <row r="959">
      <c r="BA959" s="313"/>
      <c r="BG959" s="313"/>
      <c r="BX959" s="313"/>
      <c r="BY959" s="315"/>
    </row>
    <row r="960">
      <c r="BA960" s="313"/>
      <c r="BG960" s="313"/>
      <c r="BX960" s="313"/>
      <c r="BY960" s="315"/>
    </row>
    <row r="961">
      <c r="BA961" s="313"/>
      <c r="BG961" s="313"/>
      <c r="BX961" s="313"/>
      <c r="BY961" s="315"/>
    </row>
    <row r="962">
      <c r="BA962" s="313"/>
      <c r="BG962" s="313"/>
      <c r="BX962" s="313"/>
      <c r="BY962" s="315"/>
    </row>
    <row r="963">
      <c r="BA963" s="313"/>
      <c r="BG963" s="313"/>
      <c r="BX963" s="313"/>
      <c r="BY963" s="315"/>
    </row>
    <row r="964">
      <c r="BA964" s="313"/>
      <c r="BG964" s="313"/>
      <c r="BX964" s="313"/>
      <c r="BY964" s="315"/>
    </row>
    <row r="965">
      <c r="BA965" s="313"/>
      <c r="BG965" s="313"/>
      <c r="BX965" s="313"/>
      <c r="BY965" s="315"/>
    </row>
    <row r="966">
      <c r="BA966" s="313"/>
      <c r="BG966" s="313"/>
      <c r="BX966" s="313"/>
      <c r="BY966" s="315"/>
    </row>
    <row r="967">
      <c r="BA967" s="313"/>
      <c r="BG967" s="313"/>
      <c r="BX967" s="313"/>
      <c r="BY967" s="315"/>
    </row>
    <row r="968">
      <c r="BA968" s="313"/>
      <c r="BG968" s="313"/>
      <c r="BX968" s="313"/>
      <c r="BY968" s="315"/>
    </row>
    <row r="969">
      <c r="BA969" s="313"/>
      <c r="BG969" s="313"/>
      <c r="BX969" s="313"/>
      <c r="BY969" s="315"/>
    </row>
    <row r="970">
      <c r="BA970" s="313"/>
      <c r="BG970" s="313"/>
      <c r="BX970" s="313"/>
      <c r="BY970" s="315"/>
    </row>
    <row r="971">
      <c r="BA971" s="313"/>
      <c r="BG971" s="313"/>
      <c r="BX971" s="313"/>
      <c r="BY971" s="315"/>
    </row>
    <row r="972">
      <c r="BA972" s="313"/>
      <c r="BG972" s="313"/>
      <c r="BX972" s="313"/>
      <c r="BY972" s="315"/>
    </row>
    <row r="973">
      <c r="BA973" s="313"/>
      <c r="BG973" s="313"/>
      <c r="BX973" s="313"/>
      <c r="BY973" s="315"/>
    </row>
    <row r="974">
      <c r="BA974" s="313"/>
      <c r="BG974" s="313"/>
      <c r="BX974" s="313"/>
      <c r="BY974" s="315"/>
    </row>
    <row r="975">
      <c r="BA975" s="313"/>
      <c r="BG975" s="313"/>
      <c r="BX975" s="313"/>
      <c r="BY975" s="315"/>
    </row>
    <row r="976">
      <c r="BA976" s="313"/>
      <c r="BG976" s="313"/>
      <c r="BX976" s="313"/>
      <c r="BY976" s="315"/>
    </row>
    <row r="977">
      <c r="BA977" s="313"/>
      <c r="BG977" s="313"/>
      <c r="BX977" s="313"/>
      <c r="BY977" s="315"/>
    </row>
    <row r="978">
      <c r="BA978" s="313"/>
      <c r="BG978" s="313"/>
      <c r="BX978" s="313"/>
      <c r="BY978" s="315"/>
    </row>
    <row r="979">
      <c r="BA979" s="313"/>
      <c r="BG979" s="313"/>
      <c r="BX979" s="313"/>
      <c r="BY979" s="315"/>
    </row>
    <row r="980">
      <c r="BA980" s="313"/>
      <c r="BG980" s="313"/>
      <c r="BX980" s="313"/>
      <c r="BY980" s="315"/>
    </row>
    <row r="981">
      <c r="BA981" s="313"/>
      <c r="BG981" s="313"/>
      <c r="BX981" s="313"/>
      <c r="BY981" s="315"/>
    </row>
    <row r="982">
      <c r="BA982" s="313"/>
      <c r="BG982" s="313"/>
      <c r="BX982" s="313"/>
      <c r="BY982" s="315"/>
    </row>
    <row r="983">
      <c r="BA983" s="313"/>
      <c r="BG983" s="313"/>
      <c r="BX983" s="313"/>
      <c r="BY983" s="315"/>
    </row>
    <row r="984">
      <c r="BA984" s="313"/>
      <c r="BG984" s="313"/>
      <c r="BX984" s="313"/>
      <c r="BY984" s="315"/>
    </row>
    <row r="985">
      <c r="BA985" s="313"/>
      <c r="BG985" s="313"/>
      <c r="BX985" s="313"/>
      <c r="BY985" s="315"/>
    </row>
    <row r="986">
      <c r="BA986" s="313"/>
      <c r="BG986" s="313"/>
      <c r="BX986" s="313"/>
      <c r="BY986" s="315"/>
    </row>
    <row r="987">
      <c r="BA987" s="313"/>
      <c r="BG987" s="313"/>
      <c r="BX987" s="313"/>
      <c r="BY987" s="315"/>
    </row>
    <row r="988">
      <c r="BA988" s="313"/>
      <c r="BG988" s="313"/>
      <c r="BX988" s="313"/>
      <c r="BY988" s="315"/>
    </row>
    <row r="989">
      <c r="BA989" s="313"/>
      <c r="BG989" s="313"/>
      <c r="BX989" s="313"/>
      <c r="BY989" s="315"/>
    </row>
    <row r="990">
      <c r="BA990" s="313"/>
      <c r="BG990" s="313"/>
      <c r="BX990" s="313"/>
      <c r="BY990" s="315"/>
    </row>
    <row r="991">
      <c r="BA991" s="313"/>
      <c r="BG991" s="313"/>
      <c r="BX991" s="313"/>
      <c r="BY991" s="315"/>
    </row>
    <row r="992">
      <c r="BA992" s="313"/>
      <c r="BG992" s="313"/>
      <c r="BX992" s="313"/>
      <c r="BY992" s="315"/>
    </row>
    <row r="993">
      <c r="BA993" s="313"/>
      <c r="BG993" s="313"/>
      <c r="BX993" s="313"/>
      <c r="BY993" s="315"/>
    </row>
    <row r="994">
      <c r="BA994" s="313"/>
      <c r="BG994" s="313"/>
      <c r="BX994" s="313"/>
      <c r="BY994" s="315"/>
    </row>
    <row r="995">
      <c r="BA995" s="313"/>
      <c r="BG995" s="313"/>
      <c r="BX995" s="313"/>
      <c r="BY995" s="315"/>
    </row>
    <row r="996">
      <c r="BA996" s="313"/>
      <c r="BG996" s="313"/>
      <c r="BX996" s="313"/>
      <c r="BY996" s="315"/>
    </row>
    <row r="997">
      <c r="BA997" s="313"/>
      <c r="BG997" s="313"/>
      <c r="BX997" s="313"/>
      <c r="BY997" s="315"/>
    </row>
    <row r="998">
      <c r="BA998" s="313"/>
      <c r="BG998" s="313"/>
      <c r="BX998" s="313"/>
      <c r="BY998" s="315"/>
    </row>
    <row r="999">
      <c r="BA999" s="313"/>
      <c r="BG999" s="313"/>
      <c r="BX999" s="313"/>
      <c r="BY999" s="315"/>
    </row>
    <row r="1000">
      <c r="BA1000" s="313"/>
      <c r="BG1000" s="313"/>
      <c r="BX1000" s="313"/>
      <c r="BY1000" s="315"/>
    </row>
    <row r="1001">
      <c r="BA1001" s="313"/>
      <c r="BG1001" s="313"/>
      <c r="BX1001" s="313"/>
      <c r="BY1001" s="315"/>
    </row>
    <row r="1002">
      <c r="BA1002" s="313"/>
      <c r="BG1002" s="313"/>
      <c r="BX1002" s="313"/>
      <c r="BY1002" s="315"/>
    </row>
    <row r="1003">
      <c r="BA1003" s="313"/>
      <c r="BG1003" s="313"/>
      <c r="BX1003" s="313"/>
      <c r="BY1003" s="315"/>
    </row>
    <row r="1004">
      <c r="BA1004" s="313"/>
      <c r="BG1004" s="313"/>
      <c r="BX1004" s="313"/>
      <c r="BY1004" s="315"/>
    </row>
    <row r="1005">
      <c r="BA1005" s="313"/>
      <c r="BG1005" s="313"/>
      <c r="BX1005" s="313"/>
      <c r="BY1005" s="315"/>
    </row>
    <row r="1006">
      <c r="BA1006" s="313"/>
      <c r="BG1006" s="313"/>
      <c r="BX1006" s="313"/>
      <c r="BY1006" s="315"/>
    </row>
    <row r="1007">
      <c r="BA1007" s="313"/>
      <c r="BG1007" s="313"/>
      <c r="BX1007" s="313"/>
      <c r="BY1007" s="315"/>
    </row>
    <row r="1008">
      <c r="BA1008" s="313"/>
      <c r="BG1008" s="313"/>
      <c r="BX1008" s="313"/>
      <c r="BY1008" s="315"/>
    </row>
  </sheetData>
  <customSheetViews>
    <customSheetView guid="{66B9217E-5AE3-4E3D-93A7-9BAD8F79064D}" filter="1" showAutoFilter="1">
      <autoFilter ref="$BP$52:$BW$71"/>
    </customSheetView>
    <customSheetView guid="{7C8CC3EE-4087-4C26-BB8F-CAEAACA8C307}" filter="1" showAutoFilter="1">
      <autoFilter ref="$BR$52:$BW$71"/>
    </customSheetView>
  </customSheetViews>
  <mergeCells count="21">
    <mergeCell ref="F2:H2"/>
    <mergeCell ref="F3:H3"/>
    <mergeCell ref="J3:N3"/>
    <mergeCell ref="O3:S3"/>
    <mergeCell ref="U3:Y3"/>
    <mergeCell ref="Z3:AD3"/>
    <mergeCell ref="AE3:AJ3"/>
    <mergeCell ref="AK3:AO3"/>
    <mergeCell ref="AQ3:AU3"/>
    <mergeCell ref="AV3:AZ3"/>
    <mergeCell ref="BH3:BL3"/>
    <mergeCell ref="BN3:BP3"/>
    <mergeCell ref="BQ3:BS3"/>
    <mergeCell ref="BT3:BV3"/>
    <mergeCell ref="BB1:BB3"/>
    <mergeCell ref="BC1:BC3"/>
    <mergeCell ref="BM1:BM3"/>
    <mergeCell ref="J2:S2"/>
    <mergeCell ref="U2:AD2"/>
    <mergeCell ref="AE2:AO2"/>
    <mergeCell ref="AP2:AZ2"/>
  </mergeCells>
  <conditionalFormatting sqref="F6:G57">
    <cfRule type="cellIs" dxfId="0" priority="1" operator="lessThan">
      <formula>"80%"</formula>
    </cfRule>
  </conditionalFormatting>
  <conditionalFormatting sqref="F6:G57">
    <cfRule type="cellIs" dxfId="1" priority="2" operator="between">
      <formula>"81%"</formula>
      <formula>"85%"</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2.75"/>
  <cols>
    <col customWidth="1" min="1" max="1" width="5.63"/>
    <col customWidth="1" min="2" max="2" width="10.5"/>
    <col customWidth="1" min="3" max="3" width="13.0"/>
    <col customWidth="1" min="4" max="4" width="8.13"/>
    <col customWidth="1" min="5" max="8" width="5.75"/>
    <col customWidth="1" min="9" max="9" width="4.25"/>
    <col customWidth="1" min="10" max="10" width="7.25"/>
    <col customWidth="1" min="11" max="11" width="6.75"/>
    <col customWidth="1" min="12" max="14" width="4.25"/>
    <col customWidth="1" min="15" max="15" width="5.0"/>
    <col customWidth="1" min="16" max="19" width="5.13"/>
    <col customWidth="1" min="20" max="22" width="5.0"/>
    <col customWidth="1" min="23" max="25" width="5.13"/>
    <col customWidth="1" min="26" max="55" width="5.25"/>
    <col customWidth="1" hidden="1" min="56" max="58" width="5.25"/>
    <col customWidth="1" min="59" max="59" width="5.25"/>
    <col customWidth="1" hidden="1" min="60" max="65" width="5.25"/>
    <col customWidth="1" min="66" max="74" width="8.25"/>
    <col customWidth="1" min="75" max="75" width="15.75"/>
    <col customWidth="1" min="76" max="76" width="5.25"/>
    <col customWidth="1" min="77" max="77" width="13.13"/>
  </cols>
  <sheetData>
    <row r="1">
      <c r="A1" s="31">
        <v>4.0</v>
      </c>
      <c r="BA1" s="313"/>
      <c r="BB1" s="314" t="s">
        <v>584</v>
      </c>
      <c r="BC1" s="314" t="s">
        <v>489</v>
      </c>
      <c r="BG1" s="313"/>
      <c r="BM1" s="314" t="s">
        <v>489</v>
      </c>
      <c r="BX1" s="313"/>
      <c r="BY1" s="315"/>
    </row>
    <row r="2">
      <c r="A2" s="31">
        <v>4.0</v>
      </c>
      <c r="I2" s="316"/>
      <c r="J2" s="316" t="s">
        <v>585</v>
      </c>
      <c r="T2" s="183"/>
      <c r="U2" s="183" t="s">
        <v>586</v>
      </c>
      <c r="AE2" s="316" t="s">
        <v>587</v>
      </c>
      <c r="AP2" s="183" t="s">
        <v>588</v>
      </c>
      <c r="BA2" s="317"/>
      <c r="BB2" s="14"/>
      <c r="BC2" s="14"/>
      <c r="BD2" s="318"/>
      <c r="BE2" s="318"/>
      <c r="BF2" s="318"/>
      <c r="BG2" s="317"/>
      <c r="BH2" s="319"/>
      <c r="BI2" s="319"/>
      <c r="BJ2" s="319"/>
      <c r="BK2" s="319"/>
      <c r="BL2" s="319"/>
      <c r="BM2" s="14"/>
      <c r="BX2" s="317"/>
      <c r="BY2" s="315"/>
    </row>
    <row r="3">
      <c r="I3" s="320"/>
      <c r="J3" s="321">
        <v>1.0</v>
      </c>
      <c r="K3" s="8"/>
      <c r="L3" s="8"/>
      <c r="M3" s="8"/>
      <c r="N3" s="13"/>
      <c r="O3" s="321">
        <f>J3+1</f>
        <v>2</v>
      </c>
      <c r="P3" s="8"/>
      <c r="Q3" s="8"/>
      <c r="R3" s="8"/>
      <c r="S3" s="13"/>
      <c r="T3" s="320"/>
      <c r="U3" s="321">
        <f>O3+1</f>
        <v>3</v>
      </c>
      <c r="V3" s="8"/>
      <c r="W3" s="8"/>
      <c r="X3" s="8"/>
      <c r="Y3" s="13"/>
      <c r="Z3" s="321">
        <f>U3+1</f>
        <v>4</v>
      </c>
      <c r="AA3" s="8"/>
      <c r="AB3" s="8"/>
      <c r="AC3" s="8"/>
      <c r="AD3" s="13"/>
      <c r="AE3" s="321">
        <f>Z3+1</f>
        <v>5</v>
      </c>
      <c r="AF3" s="8"/>
      <c r="AG3" s="8"/>
      <c r="AH3" s="8"/>
      <c r="AI3" s="8"/>
      <c r="AJ3" s="13"/>
      <c r="AK3" s="321">
        <v>6.0</v>
      </c>
      <c r="AL3" s="8"/>
      <c r="AM3" s="8"/>
      <c r="AN3" s="8"/>
      <c r="AO3" s="13"/>
      <c r="AP3" s="320"/>
      <c r="AQ3" s="321">
        <v>7.0</v>
      </c>
      <c r="AR3" s="8"/>
      <c r="AS3" s="8"/>
      <c r="AT3" s="8"/>
      <c r="AU3" s="13"/>
      <c r="AV3" s="321">
        <f>AQ3+1</f>
        <v>8</v>
      </c>
      <c r="AW3" s="8"/>
      <c r="AX3" s="8"/>
      <c r="AY3" s="8"/>
      <c r="AZ3" s="13"/>
      <c r="BA3" s="322"/>
      <c r="BB3" s="14"/>
      <c r="BC3" s="14"/>
      <c r="BD3" s="323"/>
      <c r="BE3" s="323"/>
      <c r="BF3" s="324"/>
      <c r="BG3" s="322"/>
      <c r="BH3" s="321">
        <f>BB3+1</f>
        <v>1</v>
      </c>
      <c r="BI3" s="8"/>
      <c r="BJ3" s="8"/>
      <c r="BK3" s="8"/>
      <c r="BL3" s="13"/>
      <c r="BM3" s="14"/>
      <c r="BN3" s="325">
        <v>45069.0</v>
      </c>
      <c r="BO3" s="3"/>
      <c r="BP3" s="3"/>
      <c r="BQ3" s="326">
        <v>45072.0</v>
      </c>
      <c r="BR3" s="3"/>
      <c r="BS3" s="5"/>
      <c r="BT3" s="326">
        <v>45073.0</v>
      </c>
      <c r="BU3" s="3"/>
      <c r="BV3" s="5"/>
      <c r="BW3" s="327" t="s">
        <v>589</v>
      </c>
      <c r="BX3" s="322"/>
      <c r="BY3" s="324" t="s">
        <v>590</v>
      </c>
    </row>
    <row r="4" hidden="1">
      <c r="I4" s="328"/>
      <c r="J4" s="152" t="s">
        <v>591</v>
      </c>
      <c r="K4" s="31"/>
      <c r="L4" s="31" t="s">
        <v>592</v>
      </c>
      <c r="M4" s="31" t="s">
        <v>591</v>
      </c>
      <c r="N4" s="329" t="s">
        <v>592</v>
      </c>
      <c r="O4" s="330" t="s">
        <v>592</v>
      </c>
      <c r="P4" s="331" t="s">
        <v>591</v>
      </c>
      <c r="Q4" s="331" t="s">
        <v>592</v>
      </c>
      <c r="R4" s="331" t="s">
        <v>591</v>
      </c>
      <c r="S4" s="332" t="s">
        <v>592</v>
      </c>
      <c r="T4" s="331"/>
      <c r="U4" s="330" t="s">
        <v>592</v>
      </c>
      <c r="V4" s="331" t="s">
        <v>591</v>
      </c>
      <c r="W4" s="331" t="s">
        <v>592</v>
      </c>
      <c r="X4" s="331" t="s">
        <v>591</v>
      </c>
      <c r="Y4" s="332" t="s">
        <v>592</v>
      </c>
      <c r="Z4" s="330" t="s">
        <v>592</v>
      </c>
      <c r="AA4" s="331" t="s">
        <v>591</v>
      </c>
      <c r="AB4" s="331" t="s">
        <v>592</v>
      </c>
      <c r="AC4" s="331" t="s">
        <v>591</v>
      </c>
      <c r="AD4" s="332" t="s">
        <v>592</v>
      </c>
      <c r="AE4" s="331" t="s">
        <v>591</v>
      </c>
      <c r="AF4" s="330" t="s">
        <v>592</v>
      </c>
      <c r="AG4" s="331" t="s">
        <v>591</v>
      </c>
      <c r="AH4" s="331" t="s">
        <v>592</v>
      </c>
      <c r="AI4" s="331" t="s">
        <v>591</v>
      </c>
      <c r="AJ4" s="332" t="s">
        <v>592</v>
      </c>
      <c r="AK4" s="330" t="s">
        <v>592</v>
      </c>
      <c r="AL4" s="331" t="s">
        <v>591</v>
      </c>
      <c r="AM4" s="331" t="s">
        <v>592</v>
      </c>
      <c r="AN4" s="331" t="s">
        <v>591</v>
      </c>
      <c r="AO4" s="332" t="s">
        <v>592</v>
      </c>
      <c r="AP4" s="331"/>
      <c r="AQ4" s="330" t="s">
        <v>592</v>
      </c>
      <c r="AR4" s="331" t="s">
        <v>591</v>
      </c>
      <c r="AS4" s="331" t="s">
        <v>592</v>
      </c>
      <c r="AT4" s="331" t="s">
        <v>591</v>
      </c>
      <c r="AU4" s="332" t="s">
        <v>592</v>
      </c>
      <c r="AV4" s="330" t="s">
        <v>592</v>
      </c>
      <c r="AW4" s="331" t="s">
        <v>591</v>
      </c>
      <c r="AX4" s="331" t="s">
        <v>592</v>
      </c>
      <c r="AY4" s="331" t="s">
        <v>591</v>
      </c>
      <c r="AZ4" s="332" t="s">
        <v>592</v>
      </c>
      <c r="BA4" s="333"/>
      <c r="BB4" s="330" t="s">
        <v>592</v>
      </c>
      <c r="BC4" s="331" t="s">
        <v>591</v>
      </c>
      <c r="BD4" s="331" t="s">
        <v>592</v>
      </c>
      <c r="BE4" s="331" t="s">
        <v>591</v>
      </c>
      <c r="BF4" s="332" t="s">
        <v>592</v>
      </c>
      <c r="BG4" s="333"/>
      <c r="BH4" s="330" t="s">
        <v>592</v>
      </c>
      <c r="BI4" s="331" t="s">
        <v>591</v>
      </c>
      <c r="BJ4" s="331" t="s">
        <v>592</v>
      </c>
      <c r="BK4" s="331" t="s">
        <v>591</v>
      </c>
      <c r="BL4" s="332" t="s">
        <v>592</v>
      </c>
      <c r="BM4" s="152" t="s">
        <v>591</v>
      </c>
      <c r="BN4" s="334"/>
      <c r="BO4" s="334"/>
      <c r="BP4" s="334" t="s">
        <v>592</v>
      </c>
      <c r="BQ4" s="334"/>
      <c r="BR4" s="334" t="s">
        <v>592</v>
      </c>
      <c r="BS4" s="334"/>
      <c r="BT4" s="334"/>
      <c r="BU4" s="334"/>
      <c r="BV4" s="334"/>
      <c r="BW4" s="334"/>
      <c r="BX4" s="333"/>
      <c r="BY4" s="335"/>
    </row>
    <row r="5" ht="83.25" customHeight="1">
      <c r="A5" s="186" t="s">
        <v>249</v>
      </c>
      <c r="B5" s="186" t="s">
        <v>250</v>
      </c>
      <c r="C5" s="186"/>
      <c r="D5" s="186" t="s">
        <v>251</v>
      </c>
      <c r="E5" s="188" t="s">
        <v>252</v>
      </c>
      <c r="F5" s="188"/>
      <c r="G5" s="188"/>
      <c r="H5" s="188"/>
      <c r="I5" s="338"/>
      <c r="J5" s="339">
        <v>45368.0</v>
      </c>
      <c r="K5" s="339">
        <f t="shared" ref="K5:N5" si="1">J5+1</f>
        <v>45369</v>
      </c>
      <c r="L5" s="339">
        <f t="shared" si="1"/>
        <v>45370</v>
      </c>
      <c r="M5" s="339">
        <f t="shared" si="1"/>
        <v>45371</v>
      </c>
      <c r="N5" s="339">
        <f t="shared" si="1"/>
        <v>45372</v>
      </c>
      <c r="O5" s="339">
        <f>J5+7</f>
        <v>45375</v>
      </c>
      <c r="P5" s="339">
        <f t="shared" ref="P5:S5" si="2">O5+1</f>
        <v>45376</v>
      </c>
      <c r="Q5" s="339">
        <f t="shared" si="2"/>
        <v>45377</v>
      </c>
      <c r="R5" s="339">
        <f t="shared" si="2"/>
        <v>45378</v>
      </c>
      <c r="S5" s="339">
        <f t="shared" si="2"/>
        <v>45379</v>
      </c>
      <c r="T5" s="339" t="s">
        <v>596</v>
      </c>
      <c r="U5" s="339">
        <f>O5+7</f>
        <v>45382</v>
      </c>
      <c r="V5" s="339">
        <f t="shared" ref="V5:Y5" si="3">U5+1</f>
        <v>45383</v>
      </c>
      <c r="W5" s="339">
        <f t="shared" si="3"/>
        <v>45384</v>
      </c>
      <c r="X5" s="339">
        <f t="shared" si="3"/>
        <v>45385</v>
      </c>
      <c r="Y5" s="339">
        <f t="shared" si="3"/>
        <v>45386</v>
      </c>
      <c r="Z5" s="339">
        <f>U5+7</f>
        <v>45389</v>
      </c>
      <c r="AA5" s="339">
        <f t="shared" ref="AA5:AD5" si="4">Z5+1</f>
        <v>45390</v>
      </c>
      <c r="AB5" s="339">
        <f t="shared" si="4"/>
        <v>45391</v>
      </c>
      <c r="AC5" s="339">
        <f t="shared" si="4"/>
        <v>45392</v>
      </c>
      <c r="AD5" s="339">
        <f t="shared" si="4"/>
        <v>45393</v>
      </c>
      <c r="AE5" s="339" t="s">
        <v>596</v>
      </c>
      <c r="AF5" s="340">
        <f>AD5+3+7</f>
        <v>45403</v>
      </c>
      <c r="AG5" s="339">
        <f t="shared" ref="AG5:AJ5" si="5">AF5+1</f>
        <v>45404</v>
      </c>
      <c r="AH5" s="339">
        <f t="shared" si="5"/>
        <v>45405</v>
      </c>
      <c r="AI5" s="339">
        <f t="shared" si="5"/>
        <v>45406</v>
      </c>
      <c r="AJ5" s="339">
        <f t="shared" si="5"/>
        <v>45407</v>
      </c>
      <c r="AK5" s="339">
        <f>AF5+7</f>
        <v>45410</v>
      </c>
      <c r="AL5" s="339">
        <f t="shared" ref="AL5:AO5" si="6">AK5+1</f>
        <v>45411</v>
      </c>
      <c r="AM5" s="339">
        <f t="shared" si="6"/>
        <v>45412</v>
      </c>
      <c r="AN5" s="340">
        <f t="shared" si="6"/>
        <v>45413</v>
      </c>
      <c r="AO5" s="340">
        <f t="shared" si="6"/>
        <v>45414</v>
      </c>
      <c r="AP5" s="339" t="s">
        <v>596</v>
      </c>
      <c r="AQ5" s="339">
        <f>AK5+7</f>
        <v>45417</v>
      </c>
      <c r="AR5" s="339">
        <f t="shared" ref="AR5:AU5" si="7">AQ5+1</f>
        <v>45418</v>
      </c>
      <c r="AS5" s="339">
        <f t="shared" si="7"/>
        <v>45419</v>
      </c>
      <c r="AT5" s="339">
        <f t="shared" si="7"/>
        <v>45420</v>
      </c>
      <c r="AU5" s="339">
        <f t="shared" si="7"/>
        <v>45421</v>
      </c>
      <c r="AV5" s="339">
        <f>AQ5+7</f>
        <v>45424</v>
      </c>
      <c r="AW5" s="339">
        <f t="shared" ref="AW5:AZ5" si="8">AV5+1</f>
        <v>45425</v>
      </c>
      <c r="AX5" s="339">
        <f t="shared" si="8"/>
        <v>45426</v>
      </c>
      <c r="AY5" s="339">
        <f t="shared" si="8"/>
        <v>45427</v>
      </c>
      <c r="AZ5" s="339">
        <f t="shared" si="8"/>
        <v>45428</v>
      </c>
      <c r="BA5" s="341"/>
      <c r="BB5" s="339">
        <f>AV5+7</f>
        <v>45431</v>
      </c>
      <c r="BC5" s="339">
        <f t="shared" ref="BC5:BF5" si="9">BB5+1</f>
        <v>45432</v>
      </c>
      <c r="BD5" s="339">
        <f t="shared" si="9"/>
        <v>45433</v>
      </c>
      <c r="BE5" s="339">
        <f t="shared" si="9"/>
        <v>45434</v>
      </c>
      <c r="BF5" s="339">
        <f t="shared" si="9"/>
        <v>45435</v>
      </c>
      <c r="BG5" s="341"/>
      <c r="BH5" s="339">
        <f>BB5+7</f>
        <v>45438</v>
      </c>
      <c r="BI5" s="339">
        <f t="shared" ref="BI5:BL5" si="10">BH5+1</f>
        <v>45439</v>
      </c>
      <c r="BJ5" s="339">
        <f t="shared" si="10"/>
        <v>45440</v>
      </c>
      <c r="BK5" s="339">
        <f t="shared" si="10"/>
        <v>45441</v>
      </c>
      <c r="BL5" s="342">
        <f t="shared" si="10"/>
        <v>45442</v>
      </c>
      <c r="BM5" s="343">
        <f>BH5</f>
        <v>45438</v>
      </c>
      <c r="BN5" s="344" t="s">
        <v>597</v>
      </c>
      <c r="BO5" s="344" t="s">
        <v>598</v>
      </c>
      <c r="BP5" s="344" t="s">
        <v>599</v>
      </c>
      <c r="BQ5" s="344" t="s">
        <v>597</v>
      </c>
      <c r="BR5" s="344" t="s">
        <v>598</v>
      </c>
      <c r="BS5" s="344" t="s">
        <v>599</v>
      </c>
      <c r="BT5" s="344" t="s">
        <v>597</v>
      </c>
      <c r="BU5" s="344" t="s">
        <v>598</v>
      </c>
      <c r="BV5" s="344" t="s">
        <v>599</v>
      </c>
      <c r="BW5" s="345" t="s">
        <v>600</v>
      </c>
      <c r="BX5" s="341"/>
      <c r="BY5" s="346"/>
    </row>
    <row r="6">
      <c r="A6" s="396">
        <f>Aules!A2</f>
        <v>1</v>
      </c>
      <c r="B6" s="396" t="str">
        <f>Aules!B2</f>
        <v>Alex</v>
      </c>
      <c r="C6" s="396" t="str">
        <f>Aules!C2</f>
        <v>Esmeralda</v>
      </c>
      <c r="D6" s="396" t="str">
        <f>GRUPS!E2</f>
        <v>JOAN</v>
      </c>
      <c r="E6" s="396" t="str">
        <f>GRUPS!F2</f>
        <v>A2</v>
      </c>
      <c r="F6" s="400" t="s">
        <v>608</v>
      </c>
      <c r="G6" s="8"/>
      <c r="H6" s="8"/>
      <c r="I6" s="354"/>
      <c r="J6" s="348"/>
      <c r="K6" s="348"/>
      <c r="L6" s="348"/>
      <c r="M6" s="348"/>
      <c r="N6" s="348"/>
      <c r="O6" s="355"/>
      <c r="P6" s="355"/>
      <c r="Q6" s="355"/>
      <c r="R6" s="355"/>
      <c r="S6" s="355"/>
      <c r="T6" s="354"/>
      <c r="U6" s="348"/>
      <c r="V6" s="348"/>
      <c r="W6" s="355"/>
      <c r="X6" s="355"/>
      <c r="Y6" s="355"/>
      <c r="Z6" s="355"/>
      <c r="AA6" s="355"/>
      <c r="AB6" s="348"/>
      <c r="AC6" s="348"/>
      <c r="AD6" s="348"/>
      <c r="AE6" s="354"/>
      <c r="AF6" s="356"/>
      <c r="AG6" s="348"/>
      <c r="AH6" s="348"/>
      <c r="AI6" s="355"/>
      <c r="AJ6" s="355"/>
      <c r="AK6" s="355"/>
      <c r="AL6" s="355"/>
      <c r="AM6" s="355"/>
      <c r="AN6" s="356"/>
      <c r="AO6" s="356"/>
      <c r="AP6" s="354"/>
      <c r="AQ6" s="348"/>
      <c r="AR6" s="348"/>
      <c r="AS6" s="355"/>
      <c r="AT6" s="355"/>
      <c r="AU6" s="355"/>
      <c r="AV6" s="355"/>
      <c r="AW6" s="355"/>
      <c r="AX6" s="355"/>
      <c r="AY6" s="355"/>
      <c r="AZ6" s="355"/>
      <c r="BA6" s="357"/>
      <c r="BB6" s="355"/>
      <c r="BC6" s="355"/>
      <c r="BD6" s="355"/>
      <c r="BE6" s="355"/>
      <c r="BF6" s="355"/>
      <c r="BG6" s="357"/>
      <c r="BH6" s="348"/>
      <c r="BI6" s="348"/>
      <c r="BJ6" s="348"/>
      <c r="BK6" s="150"/>
      <c r="BL6" s="150"/>
      <c r="BM6" s="150"/>
      <c r="BN6" s="358"/>
      <c r="BO6" s="359"/>
      <c r="BP6" s="359"/>
      <c r="BQ6" s="360"/>
      <c r="BR6" s="361"/>
      <c r="BS6" s="358"/>
      <c r="BT6" s="358"/>
      <c r="BU6" s="358"/>
      <c r="BV6" s="358"/>
      <c r="BW6" s="362"/>
      <c r="BX6" s="357"/>
      <c r="BY6" s="363"/>
    </row>
    <row r="7">
      <c r="A7" s="14"/>
      <c r="B7" s="396" t="str">
        <f>Aules!B3</f>
        <v>Victor</v>
      </c>
      <c r="C7" s="396" t="str">
        <f>Aules!C3</f>
        <v>Fernandez</v>
      </c>
      <c r="D7" s="14"/>
      <c r="E7" s="14"/>
      <c r="F7" s="409" t="s">
        <v>622</v>
      </c>
      <c r="I7" s="369"/>
      <c r="J7" s="365"/>
      <c r="K7" s="365"/>
      <c r="L7" s="365"/>
      <c r="M7" s="365"/>
      <c r="N7" s="365"/>
      <c r="O7" s="370"/>
      <c r="P7" s="370"/>
      <c r="Q7" s="370"/>
      <c r="R7" s="370"/>
      <c r="S7" s="370"/>
      <c r="T7" s="369"/>
      <c r="U7" s="365"/>
      <c r="V7" s="365"/>
      <c r="W7" s="370"/>
      <c r="X7" s="370"/>
      <c r="Y7" s="370"/>
      <c r="Z7" s="370"/>
      <c r="AA7" s="370"/>
      <c r="AB7" s="365"/>
      <c r="AC7" s="365"/>
      <c r="AD7" s="365"/>
      <c r="AE7" s="369"/>
      <c r="AF7" s="371"/>
      <c r="AG7" s="365"/>
      <c r="AH7" s="365"/>
      <c r="AI7" s="370"/>
      <c r="AJ7" s="370"/>
      <c r="AK7" s="370"/>
      <c r="AL7" s="370"/>
      <c r="AM7" s="370"/>
      <c r="AN7" s="371"/>
      <c r="AO7" s="371"/>
      <c r="AP7" s="369"/>
      <c r="AQ7" s="365"/>
      <c r="AR7" s="365"/>
      <c r="AS7" s="370"/>
      <c r="AT7" s="370"/>
      <c r="AU7" s="370"/>
      <c r="AV7" s="370"/>
      <c r="AW7" s="370"/>
      <c r="AX7" s="370"/>
      <c r="AY7" s="370"/>
      <c r="AZ7" s="370"/>
      <c r="BA7" s="372"/>
      <c r="BB7" s="370"/>
      <c r="BC7" s="370"/>
      <c r="BD7" s="370"/>
      <c r="BE7" s="370"/>
      <c r="BF7" s="370"/>
      <c r="BG7" s="372"/>
      <c r="BH7" s="365"/>
      <c r="BI7" s="365"/>
      <c r="BJ7" s="365"/>
      <c r="BK7" s="31"/>
      <c r="BL7" s="31"/>
      <c r="BM7" s="31"/>
      <c r="BN7" s="373"/>
      <c r="BO7" s="207"/>
      <c r="BP7" s="207"/>
      <c r="BQ7" s="374"/>
      <c r="BR7" s="375"/>
      <c r="BS7" s="373"/>
      <c r="BT7" s="373"/>
      <c r="BU7" s="373"/>
      <c r="BV7" s="373"/>
      <c r="BW7" s="376"/>
      <c r="BX7" s="372"/>
      <c r="BY7" s="377"/>
    </row>
    <row r="8">
      <c r="A8" s="14"/>
      <c r="B8" s="396" t="str">
        <f>Aules!B4</f>
        <v>Héctor</v>
      </c>
      <c r="C8" s="396" t="str">
        <f>Aules!C4</f>
        <v>Jurado Castillo</v>
      </c>
      <c r="D8" s="14"/>
      <c r="E8" s="14"/>
      <c r="F8" s="409" t="s">
        <v>630</v>
      </c>
      <c r="I8" s="369"/>
      <c r="J8" s="365"/>
      <c r="K8" s="365"/>
      <c r="L8" s="365"/>
      <c r="M8" s="365"/>
      <c r="N8" s="365"/>
      <c r="O8" s="370"/>
      <c r="P8" s="370"/>
      <c r="Q8" s="370"/>
      <c r="R8" s="370"/>
      <c r="S8" s="370"/>
      <c r="T8" s="369"/>
      <c r="U8" s="365"/>
      <c r="V8" s="365"/>
      <c r="W8" s="370"/>
      <c r="X8" s="370"/>
      <c r="Y8" s="370"/>
      <c r="Z8" s="370"/>
      <c r="AA8" s="370"/>
      <c r="AB8" s="365"/>
      <c r="AC8" s="365"/>
      <c r="AD8" s="365"/>
      <c r="AE8" s="369"/>
      <c r="AF8" s="371"/>
      <c r="AG8" s="365"/>
      <c r="AH8" s="365"/>
      <c r="AI8" s="370"/>
      <c r="AJ8" s="370"/>
      <c r="AK8" s="370"/>
      <c r="AL8" s="370"/>
      <c r="AM8" s="370"/>
      <c r="AN8" s="371"/>
      <c r="AO8" s="371"/>
      <c r="AP8" s="369"/>
      <c r="AQ8" s="365"/>
      <c r="AR8" s="365"/>
      <c r="AS8" s="370"/>
      <c r="AT8" s="370"/>
      <c r="AU8" s="370"/>
      <c r="AV8" s="370"/>
      <c r="AW8" s="370"/>
      <c r="AX8" s="370"/>
      <c r="AY8" s="370"/>
      <c r="AZ8" s="370"/>
      <c r="BA8" s="372"/>
      <c r="BB8" s="370"/>
      <c r="BC8" s="370"/>
      <c r="BD8" s="370"/>
      <c r="BE8" s="370"/>
      <c r="BF8" s="370"/>
      <c r="BG8" s="372"/>
      <c r="BH8" s="365"/>
      <c r="BI8" s="365"/>
      <c r="BJ8" s="365"/>
      <c r="BK8" s="31"/>
      <c r="BL8" s="31"/>
      <c r="BM8" s="31"/>
      <c r="BN8" s="373"/>
      <c r="BO8" s="207"/>
      <c r="BP8" s="207"/>
      <c r="BQ8" s="374"/>
      <c r="BR8" s="375"/>
      <c r="BS8" s="373"/>
      <c r="BT8" s="373"/>
      <c r="BU8" s="373"/>
      <c r="BV8" s="373"/>
      <c r="BW8" s="376"/>
      <c r="BX8" s="372"/>
      <c r="BY8" s="377"/>
    </row>
    <row r="9">
      <c r="A9" s="417">
        <f>Aules!A5</f>
        <v>2</v>
      </c>
      <c r="B9" s="417" t="str">
        <f>Aules!B5</f>
        <v>Víctor</v>
      </c>
      <c r="C9" s="417" t="str">
        <f>Aules!C5</f>
        <v>Álvarez Calvo</v>
      </c>
      <c r="D9" s="417" t="str">
        <f>GRUPS!E5</f>
        <v>OSCAR</v>
      </c>
      <c r="E9" s="417" t="str">
        <f>GRUPS!F5</f>
        <v>B1</v>
      </c>
      <c r="F9" s="426" t="s">
        <v>608</v>
      </c>
      <c r="G9" s="8"/>
      <c r="H9" s="8"/>
      <c r="I9" s="369"/>
      <c r="J9" s="379"/>
      <c r="K9" s="379"/>
      <c r="L9" s="379"/>
      <c r="M9" s="379"/>
      <c r="N9" s="379"/>
      <c r="O9" s="384"/>
      <c r="P9" s="384"/>
      <c r="Q9" s="384"/>
      <c r="R9" s="384"/>
      <c r="S9" s="384"/>
      <c r="T9" s="369"/>
      <c r="U9" s="379"/>
      <c r="V9" s="379"/>
      <c r="W9" s="384"/>
      <c r="X9" s="384"/>
      <c r="Y9" s="384"/>
      <c r="Z9" s="384"/>
      <c r="AA9" s="384"/>
      <c r="AB9" s="379"/>
      <c r="AC9" s="379"/>
      <c r="AD9" s="379"/>
      <c r="AE9" s="369"/>
      <c r="AF9" s="386"/>
      <c r="AG9" s="379"/>
      <c r="AH9" s="379"/>
      <c r="AI9" s="384"/>
      <c r="AJ9" s="384"/>
      <c r="AK9" s="384"/>
      <c r="AL9" s="384"/>
      <c r="AM9" s="384"/>
      <c r="AN9" s="386"/>
      <c r="AO9" s="386"/>
      <c r="AP9" s="369"/>
      <c r="AQ9" s="379"/>
      <c r="AR9" s="379"/>
      <c r="AS9" s="384"/>
      <c r="AT9" s="384"/>
      <c r="AU9" s="384"/>
      <c r="AV9" s="384"/>
      <c r="AW9" s="384"/>
      <c r="AX9" s="384"/>
      <c r="AY9" s="384"/>
      <c r="AZ9" s="384"/>
      <c r="BA9" s="388"/>
      <c r="BB9" s="384"/>
      <c r="BC9" s="384"/>
      <c r="BD9" s="384"/>
      <c r="BE9" s="384"/>
      <c r="BF9" s="384"/>
      <c r="BG9" s="388"/>
      <c r="BH9" s="379"/>
      <c r="BI9" s="379"/>
      <c r="BJ9" s="379"/>
      <c r="BK9" s="389"/>
      <c r="BL9" s="331"/>
      <c r="BM9" s="331"/>
      <c r="BN9" s="390"/>
      <c r="BO9" s="391"/>
      <c r="BP9" s="391"/>
      <c r="BQ9" s="392"/>
      <c r="BR9" s="393"/>
      <c r="BS9" s="390"/>
      <c r="BT9" s="390"/>
      <c r="BU9" s="390"/>
      <c r="BV9" s="390"/>
      <c r="BW9" s="395"/>
      <c r="BX9" s="388"/>
      <c r="BY9" s="335"/>
    </row>
    <row r="10">
      <c r="A10" s="14"/>
      <c r="B10" s="417" t="str">
        <f>Aules!B6</f>
        <v>Jan</v>
      </c>
      <c r="C10" s="417" t="str">
        <f>Aules!C6</f>
        <v>Borràs Martínez</v>
      </c>
      <c r="D10" s="14"/>
      <c r="E10" s="14"/>
      <c r="F10" s="437" t="s">
        <v>622</v>
      </c>
      <c r="I10" s="369"/>
      <c r="J10" s="379"/>
      <c r="K10" s="379"/>
      <c r="L10" s="379"/>
      <c r="M10" s="379"/>
      <c r="N10" s="379"/>
      <c r="O10" s="384"/>
      <c r="P10" s="384"/>
      <c r="Q10" s="384"/>
      <c r="R10" s="384"/>
      <c r="S10" s="384"/>
      <c r="T10" s="369"/>
      <c r="U10" s="379"/>
      <c r="V10" s="379"/>
      <c r="W10" s="384"/>
      <c r="X10" s="384"/>
      <c r="Y10" s="384"/>
      <c r="Z10" s="384"/>
      <c r="AA10" s="384"/>
      <c r="AB10" s="379"/>
      <c r="AC10" s="379"/>
      <c r="AD10" s="379"/>
      <c r="AE10" s="369"/>
      <c r="AF10" s="386"/>
      <c r="AG10" s="379"/>
      <c r="AH10" s="379"/>
      <c r="AI10" s="384"/>
      <c r="AJ10" s="384"/>
      <c r="AK10" s="384"/>
      <c r="AL10" s="384"/>
      <c r="AM10" s="384"/>
      <c r="AN10" s="386"/>
      <c r="AO10" s="386"/>
      <c r="AP10" s="369"/>
      <c r="AQ10" s="379"/>
      <c r="AR10" s="379"/>
      <c r="AS10" s="384"/>
      <c r="AT10" s="384"/>
      <c r="AU10" s="384"/>
      <c r="AV10" s="384"/>
      <c r="AW10" s="384"/>
      <c r="AX10" s="384"/>
      <c r="AY10" s="384"/>
      <c r="AZ10" s="384"/>
      <c r="BA10" s="388"/>
      <c r="BB10" s="384"/>
      <c r="BC10" s="384"/>
      <c r="BD10" s="384"/>
      <c r="BE10" s="384"/>
      <c r="BF10" s="384"/>
      <c r="BG10" s="388"/>
      <c r="BH10" s="379"/>
      <c r="BI10" s="379"/>
      <c r="BJ10" s="379"/>
      <c r="BK10" s="389"/>
      <c r="BL10" s="331"/>
      <c r="BM10" s="331"/>
      <c r="BN10" s="390"/>
      <c r="BO10" s="391"/>
      <c r="BP10" s="391"/>
      <c r="BQ10" s="392"/>
      <c r="BR10" s="393"/>
      <c r="BS10" s="390"/>
      <c r="BT10" s="390"/>
      <c r="BU10" s="390"/>
      <c r="BV10" s="390"/>
      <c r="BW10" s="398"/>
      <c r="BX10" s="388"/>
      <c r="BY10" s="335"/>
    </row>
    <row r="11">
      <c r="A11" s="14"/>
      <c r="B11" s="417" t="str">
        <f>Aules!B7</f>
        <v>Roc </v>
      </c>
      <c r="C11" s="417" t="str">
        <f>Aules!C7</f>
        <v>Igual Lopez</v>
      </c>
      <c r="D11" s="14"/>
      <c r="E11" s="14"/>
      <c r="F11" s="437" t="s">
        <v>630</v>
      </c>
      <c r="I11" s="369"/>
      <c r="J11" s="379"/>
      <c r="K11" s="379"/>
      <c r="L11" s="379"/>
      <c r="M11" s="379"/>
      <c r="N11" s="379"/>
      <c r="O11" s="384"/>
      <c r="P11" s="384"/>
      <c r="Q11" s="384"/>
      <c r="R11" s="384"/>
      <c r="S11" s="384"/>
      <c r="T11" s="369"/>
      <c r="U11" s="379"/>
      <c r="V11" s="379"/>
      <c r="W11" s="384"/>
      <c r="X11" s="384"/>
      <c r="Y11" s="384"/>
      <c r="Z11" s="384"/>
      <c r="AA11" s="384"/>
      <c r="AB11" s="379"/>
      <c r="AC11" s="379"/>
      <c r="AD11" s="379"/>
      <c r="AE11" s="369"/>
      <c r="AF11" s="386"/>
      <c r="AG11" s="379"/>
      <c r="AH11" s="379"/>
      <c r="AI11" s="384"/>
      <c r="AJ11" s="384"/>
      <c r="AK11" s="384"/>
      <c r="AL11" s="384"/>
      <c r="AM11" s="384"/>
      <c r="AN11" s="386"/>
      <c r="AO11" s="386"/>
      <c r="AP11" s="369"/>
      <c r="AQ11" s="379"/>
      <c r="AR11" s="379"/>
      <c r="AS11" s="384"/>
      <c r="AT11" s="384"/>
      <c r="AU11" s="384"/>
      <c r="AV11" s="384"/>
      <c r="AW11" s="384"/>
      <c r="AX11" s="384"/>
      <c r="AY11" s="384"/>
      <c r="AZ11" s="384"/>
      <c r="BA11" s="388"/>
      <c r="BB11" s="384"/>
      <c r="BC11" s="384"/>
      <c r="BD11" s="384"/>
      <c r="BE11" s="384"/>
      <c r="BF11" s="384"/>
      <c r="BG11" s="388"/>
      <c r="BH11" s="379"/>
      <c r="BI11" s="379"/>
      <c r="BJ11" s="379"/>
      <c r="BK11" s="389"/>
      <c r="BL11" s="331"/>
      <c r="BM11" s="331"/>
      <c r="BN11" s="401"/>
      <c r="BO11" s="402"/>
      <c r="BP11" s="402"/>
      <c r="BQ11" s="392"/>
      <c r="BR11" s="393"/>
      <c r="BS11" s="401"/>
      <c r="BT11" s="401"/>
      <c r="BU11" s="401"/>
      <c r="BV11" s="401"/>
      <c r="BW11" s="398"/>
      <c r="BX11" s="388"/>
      <c r="BY11" s="335"/>
    </row>
    <row r="12">
      <c r="A12" s="396">
        <f>Aules!A8</f>
        <v>3</v>
      </c>
      <c r="B12" s="396" t="str">
        <f>Aules!B8</f>
        <v>Bernat</v>
      </c>
      <c r="C12" s="396" t="str">
        <f>Aules!C8</f>
        <v>Balada Segura</v>
      </c>
      <c r="D12" s="396" t="str">
        <f>GRUPS!E8</f>
        <v>OSCAR</v>
      </c>
      <c r="E12" s="396" t="str">
        <f>GRUPS!F8</f>
        <v>B1</v>
      </c>
      <c r="F12" s="400" t="s">
        <v>608</v>
      </c>
      <c r="G12" s="8"/>
      <c r="H12" s="8"/>
      <c r="I12" s="369"/>
      <c r="J12" s="365"/>
      <c r="K12" s="365"/>
      <c r="L12" s="365"/>
      <c r="M12" s="365"/>
      <c r="N12" s="365"/>
      <c r="O12" s="370"/>
      <c r="P12" s="370"/>
      <c r="Q12" s="370"/>
      <c r="R12" s="370"/>
      <c r="S12" s="370"/>
      <c r="T12" s="369"/>
      <c r="U12" s="365"/>
      <c r="V12" s="365"/>
      <c r="W12" s="370"/>
      <c r="X12" s="370"/>
      <c r="Y12" s="370"/>
      <c r="Z12" s="370"/>
      <c r="AA12" s="370"/>
      <c r="AB12" s="365"/>
      <c r="AC12" s="365"/>
      <c r="AD12" s="365"/>
      <c r="AE12" s="369"/>
      <c r="AF12" s="371"/>
      <c r="AG12" s="365"/>
      <c r="AH12" s="365"/>
      <c r="AI12" s="370"/>
      <c r="AJ12" s="370"/>
      <c r="AK12" s="370"/>
      <c r="AL12" s="370"/>
      <c r="AM12" s="370"/>
      <c r="AN12" s="371"/>
      <c r="AO12" s="371"/>
      <c r="AP12" s="369"/>
      <c r="AQ12" s="365"/>
      <c r="AR12" s="365"/>
      <c r="AS12" s="370"/>
      <c r="AT12" s="370"/>
      <c r="AU12" s="370"/>
      <c r="AV12" s="370"/>
      <c r="AW12" s="370"/>
      <c r="AX12" s="370"/>
      <c r="AY12" s="370"/>
      <c r="AZ12" s="370"/>
      <c r="BA12" s="372"/>
      <c r="BB12" s="370"/>
      <c r="BC12" s="370"/>
      <c r="BD12" s="370"/>
      <c r="BE12" s="370"/>
      <c r="BF12" s="370"/>
      <c r="BG12" s="372"/>
      <c r="BH12" s="365"/>
      <c r="BI12" s="365"/>
      <c r="BJ12" s="365"/>
      <c r="BK12" s="31"/>
      <c r="BL12" s="31"/>
      <c r="BM12" s="31"/>
      <c r="BN12" s="373"/>
      <c r="BO12" s="374"/>
      <c r="BP12" s="375"/>
      <c r="BQ12" s="207"/>
      <c r="BR12" s="207"/>
      <c r="BS12" s="207"/>
      <c r="BT12" s="207"/>
      <c r="BU12" s="207"/>
      <c r="BV12" s="207"/>
      <c r="BW12" s="407"/>
      <c r="BX12" s="372"/>
      <c r="BY12" s="377"/>
    </row>
    <row r="13">
      <c r="A13" s="14"/>
      <c r="B13" s="396" t="str">
        <f>Aules!B9</f>
        <v>Victor</v>
      </c>
      <c r="C13" s="396" t="str">
        <f>Aules!C9</f>
        <v>Gisbert García</v>
      </c>
      <c r="D13" s="14"/>
      <c r="E13" s="14"/>
      <c r="F13" s="409" t="s">
        <v>622</v>
      </c>
      <c r="I13" s="369"/>
      <c r="J13" s="365"/>
      <c r="K13" s="365"/>
      <c r="L13" s="365"/>
      <c r="M13" s="365"/>
      <c r="N13" s="365"/>
      <c r="O13" s="370"/>
      <c r="P13" s="370"/>
      <c r="Q13" s="370"/>
      <c r="R13" s="370"/>
      <c r="S13" s="370"/>
      <c r="T13" s="369"/>
      <c r="U13" s="365"/>
      <c r="V13" s="365"/>
      <c r="W13" s="370"/>
      <c r="X13" s="370"/>
      <c r="Y13" s="370"/>
      <c r="Z13" s="370"/>
      <c r="AA13" s="370"/>
      <c r="AB13" s="365"/>
      <c r="AC13" s="365"/>
      <c r="AD13" s="365"/>
      <c r="AE13" s="369"/>
      <c r="AF13" s="371"/>
      <c r="AG13" s="365"/>
      <c r="AH13" s="365"/>
      <c r="AI13" s="370"/>
      <c r="AJ13" s="370"/>
      <c r="AK13" s="370"/>
      <c r="AL13" s="370"/>
      <c r="AM13" s="370"/>
      <c r="AN13" s="371"/>
      <c r="AO13" s="371"/>
      <c r="AP13" s="369"/>
      <c r="AQ13" s="365"/>
      <c r="AR13" s="365"/>
      <c r="AS13" s="370"/>
      <c r="AT13" s="370"/>
      <c r="AU13" s="370"/>
      <c r="AV13" s="370"/>
      <c r="AW13" s="370"/>
      <c r="AX13" s="370"/>
      <c r="AY13" s="370"/>
      <c r="AZ13" s="370"/>
      <c r="BA13" s="372"/>
      <c r="BB13" s="370"/>
      <c r="BC13" s="370"/>
      <c r="BD13" s="370"/>
      <c r="BE13" s="370"/>
      <c r="BF13" s="370"/>
      <c r="BG13" s="372"/>
      <c r="BH13" s="365"/>
      <c r="BI13" s="365"/>
      <c r="BJ13" s="365"/>
      <c r="BK13" s="31"/>
      <c r="BL13" s="31"/>
      <c r="BM13" s="31"/>
      <c r="BN13" s="373"/>
      <c r="BO13" s="374"/>
      <c r="BP13" s="375"/>
      <c r="BQ13" s="207"/>
      <c r="BR13" s="207"/>
      <c r="BS13" s="207"/>
      <c r="BT13" s="207"/>
      <c r="BU13" s="207"/>
      <c r="BV13" s="207"/>
      <c r="BW13" s="376"/>
      <c r="BX13" s="372"/>
      <c r="BY13" s="377"/>
    </row>
    <row r="14">
      <c r="A14" s="14"/>
      <c r="B14" s="396" t="str">
        <f>Aules!B10</f>
        <v>Pol</v>
      </c>
      <c r="C14" s="396" t="str">
        <f>Aules!C10</f>
        <v>Navarro</v>
      </c>
      <c r="D14" s="14"/>
      <c r="E14" s="14"/>
      <c r="F14" s="409" t="s">
        <v>630</v>
      </c>
      <c r="I14" s="369"/>
      <c r="J14" s="410"/>
      <c r="K14" s="410"/>
      <c r="L14" s="410"/>
      <c r="M14" s="410"/>
      <c r="N14" s="410"/>
      <c r="O14" s="370"/>
      <c r="P14" s="370"/>
      <c r="Q14" s="370"/>
      <c r="R14" s="370"/>
      <c r="S14" s="370"/>
      <c r="T14" s="369"/>
      <c r="U14" s="410"/>
      <c r="V14" s="410"/>
      <c r="W14" s="370"/>
      <c r="X14" s="370"/>
      <c r="Y14" s="370"/>
      <c r="Z14" s="370"/>
      <c r="AA14" s="370"/>
      <c r="AB14" s="410"/>
      <c r="AC14" s="410"/>
      <c r="AD14" s="410"/>
      <c r="AE14" s="369"/>
      <c r="AF14" s="386"/>
      <c r="AG14" s="410"/>
      <c r="AH14" s="410"/>
      <c r="AI14" s="370"/>
      <c r="AJ14" s="370"/>
      <c r="AK14" s="370"/>
      <c r="AL14" s="370"/>
      <c r="AM14" s="370"/>
      <c r="AN14" s="386"/>
      <c r="AO14" s="386"/>
      <c r="AP14" s="369"/>
      <c r="AQ14" s="410"/>
      <c r="AR14" s="410"/>
      <c r="AS14" s="370"/>
      <c r="AT14" s="370"/>
      <c r="AU14" s="370"/>
      <c r="AV14" s="370"/>
      <c r="AW14" s="370"/>
      <c r="AX14" s="370"/>
      <c r="AY14" s="370"/>
      <c r="AZ14" s="370"/>
      <c r="BA14" s="388"/>
      <c r="BB14" s="370"/>
      <c r="BC14" s="370"/>
      <c r="BD14" s="370"/>
      <c r="BE14" s="370"/>
      <c r="BF14" s="370"/>
      <c r="BG14" s="388"/>
      <c r="BH14" s="410"/>
      <c r="BI14" s="410"/>
      <c r="BJ14" s="410"/>
      <c r="BK14" s="31"/>
      <c r="BL14" s="31"/>
      <c r="BM14" s="31"/>
      <c r="BN14" s="373"/>
      <c r="BO14" s="374"/>
      <c r="BP14" s="375"/>
      <c r="BQ14" s="113"/>
      <c r="BR14" s="113"/>
      <c r="BS14" s="113"/>
      <c r="BT14" s="113"/>
      <c r="BU14" s="113"/>
      <c r="BV14" s="113"/>
      <c r="BW14" s="411"/>
      <c r="BX14" s="388"/>
      <c r="BY14" s="377"/>
    </row>
    <row r="15">
      <c r="A15" s="417">
        <f>Aules!A11</f>
        <v>4</v>
      </c>
      <c r="B15" s="417" t="str">
        <f>Aules!B11</f>
        <v>Adrian</v>
      </c>
      <c r="C15" s="417" t="str">
        <f>Aules!C11</f>
        <v>Barriere Rodríguez</v>
      </c>
      <c r="D15" s="417" t="str">
        <f>GRUPS!E11</f>
        <v>EVA</v>
      </c>
      <c r="E15" s="417" t="str">
        <f>GRUPS!F11</f>
        <v>B1</v>
      </c>
      <c r="F15" s="426" t="s">
        <v>608</v>
      </c>
      <c r="G15" s="8"/>
      <c r="H15" s="8"/>
      <c r="I15" s="369"/>
      <c r="J15" s="379"/>
      <c r="K15" s="379"/>
      <c r="L15" s="379"/>
      <c r="M15" s="379"/>
      <c r="N15" s="379"/>
      <c r="O15" s="384"/>
      <c r="P15" s="384"/>
      <c r="Q15" s="384"/>
      <c r="R15" s="384"/>
      <c r="S15" s="384"/>
      <c r="T15" s="369"/>
      <c r="U15" s="379"/>
      <c r="V15" s="379"/>
      <c r="W15" s="384"/>
      <c r="X15" s="384"/>
      <c r="Y15" s="384"/>
      <c r="Z15" s="384"/>
      <c r="AA15" s="384"/>
      <c r="AB15" s="379"/>
      <c r="AC15" s="379"/>
      <c r="AD15" s="379"/>
      <c r="AE15" s="369"/>
      <c r="AF15" s="386"/>
      <c r="AG15" s="379"/>
      <c r="AH15" s="379"/>
      <c r="AI15" s="384"/>
      <c r="AJ15" s="384"/>
      <c r="AK15" s="384"/>
      <c r="AL15" s="384"/>
      <c r="AM15" s="384"/>
      <c r="AN15" s="386"/>
      <c r="AO15" s="386"/>
      <c r="AP15" s="369"/>
      <c r="AQ15" s="379"/>
      <c r="AR15" s="379"/>
      <c r="AS15" s="384"/>
      <c r="AT15" s="384"/>
      <c r="AU15" s="384"/>
      <c r="AV15" s="384"/>
      <c r="AW15" s="384"/>
      <c r="AX15" s="384"/>
      <c r="AY15" s="384"/>
      <c r="AZ15" s="384"/>
      <c r="BA15" s="388"/>
      <c r="BB15" s="384"/>
      <c r="BC15" s="384"/>
      <c r="BD15" s="384"/>
      <c r="BE15" s="384"/>
      <c r="BF15" s="384"/>
      <c r="BG15" s="388"/>
      <c r="BH15" s="379"/>
      <c r="BI15" s="379"/>
      <c r="BJ15" s="379"/>
      <c r="BK15" s="331"/>
      <c r="BL15" s="331"/>
      <c r="BM15" s="331"/>
      <c r="BN15" s="390"/>
      <c r="BO15" s="392"/>
      <c r="BP15" s="393"/>
      <c r="BQ15" s="402"/>
      <c r="BR15" s="402"/>
      <c r="BS15" s="402"/>
      <c r="BT15" s="402"/>
      <c r="BU15" s="402"/>
      <c r="BV15" s="402"/>
      <c r="BW15" s="416"/>
      <c r="BX15" s="388"/>
      <c r="BY15" s="335"/>
    </row>
    <row r="16">
      <c r="A16" s="14"/>
      <c r="B16" s="417" t="str">
        <f>Aules!B12</f>
        <v>Roger</v>
      </c>
      <c r="C16" s="417" t="str">
        <f>Aules!C12</f>
        <v>Moré Puig</v>
      </c>
      <c r="D16" s="14"/>
      <c r="E16" s="14"/>
      <c r="F16" s="437" t="s">
        <v>622</v>
      </c>
      <c r="I16" s="369"/>
      <c r="J16" s="379"/>
      <c r="K16" s="379"/>
      <c r="L16" s="379"/>
      <c r="M16" s="379"/>
      <c r="N16" s="379"/>
      <c r="O16" s="384"/>
      <c r="P16" s="384"/>
      <c r="Q16" s="384"/>
      <c r="R16" s="384"/>
      <c r="S16" s="384"/>
      <c r="T16" s="369"/>
      <c r="U16" s="379"/>
      <c r="V16" s="379"/>
      <c r="W16" s="384"/>
      <c r="X16" s="384"/>
      <c r="Y16" s="384"/>
      <c r="Z16" s="384"/>
      <c r="AA16" s="384"/>
      <c r="AB16" s="379"/>
      <c r="AC16" s="379"/>
      <c r="AD16" s="379"/>
      <c r="AE16" s="369"/>
      <c r="AF16" s="386"/>
      <c r="AG16" s="379"/>
      <c r="AH16" s="379"/>
      <c r="AI16" s="384"/>
      <c r="AJ16" s="384"/>
      <c r="AK16" s="384"/>
      <c r="AL16" s="384"/>
      <c r="AM16" s="384"/>
      <c r="AN16" s="386"/>
      <c r="AO16" s="386"/>
      <c r="AP16" s="369"/>
      <c r="AQ16" s="379"/>
      <c r="AR16" s="379"/>
      <c r="AS16" s="384"/>
      <c r="AT16" s="384"/>
      <c r="AU16" s="384"/>
      <c r="AV16" s="384"/>
      <c r="AW16" s="384"/>
      <c r="AX16" s="384"/>
      <c r="AY16" s="384"/>
      <c r="AZ16" s="384"/>
      <c r="BA16" s="388"/>
      <c r="BB16" s="384"/>
      <c r="BC16" s="384"/>
      <c r="BD16" s="384"/>
      <c r="BE16" s="384"/>
      <c r="BF16" s="384"/>
      <c r="BG16" s="388"/>
      <c r="BH16" s="379"/>
      <c r="BI16" s="379"/>
      <c r="BJ16" s="379"/>
      <c r="BK16" s="389"/>
      <c r="BL16" s="331"/>
      <c r="BM16" s="331"/>
      <c r="BN16" s="390"/>
      <c r="BO16" s="392"/>
      <c r="BP16" s="393"/>
      <c r="BQ16" s="391"/>
      <c r="BR16" s="391"/>
      <c r="BS16" s="391"/>
      <c r="BT16" s="391"/>
      <c r="BU16" s="391"/>
      <c r="BV16" s="391"/>
      <c r="BW16" s="395"/>
      <c r="BX16" s="388"/>
      <c r="BY16" s="335"/>
    </row>
    <row r="17">
      <c r="A17" s="14"/>
      <c r="B17" s="417" t="str">
        <f>Aules!B13</f>
        <v>Víctor</v>
      </c>
      <c r="C17" s="417" t="str">
        <f>Aules!C13</f>
        <v>Risco Ruiz</v>
      </c>
      <c r="D17" s="14"/>
      <c r="E17" s="14"/>
      <c r="F17" s="437" t="s">
        <v>630</v>
      </c>
      <c r="I17" s="369"/>
      <c r="J17" s="379"/>
      <c r="K17" s="379"/>
      <c r="L17" s="379"/>
      <c r="M17" s="379"/>
      <c r="N17" s="379"/>
      <c r="O17" s="384"/>
      <c r="P17" s="384"/>
      <c r="Q17" s="384"/>
      <c r="R17" s="384"/>
      <c r="S17" s="384"/>
      <c r="T17" s="369"/>
      <c r="U17" s="379"/>
      <c r="V17" s="379"/>
      <c r="W17" s="384"/>
      <c r="X17" s="384"/>
      <c r="Y17" s="384"/>
      <c r="Z17" s="384"/>
      <c r="AA17" s="384"/>
      <c r="AB17" s="379"/>
      <c r="AC17" s="379"/>
      <c r="AD17" s="379"/>
      <c r="AE17" s="369"/>
      <c r="AF17" s="386"/>
      <c r="AG17" s="379"/>
      <c r="AH17" s="379"/>
      <c r="AI17" s="384"/>
      <c r="AJ17" s="384"/>
      <c r="AK17" s="384"/>
      <c r="AL17" s="384"/>
      <c r="AM17" s="384"/>
      <c r="AN17" s="386"/>
      <c r="AO17" s="386"/>
      <c r="AP17" s="369"/>
      <c r="AQ17" s="379"/>
      <c r="AR17" s="379"/>
      <c r="AS17" s="384"/>
      <c r="AT17" s="384"/>
      <c r="AU17" s="384"/>
      <c r="AV17" s="384"/>
      <c r="AW17" s="384"/>
      <c r="AX17" s="384"/>
      <c r="AY17" s="384"/>
      <c r="AZ17" s="384"/>
      <c r="BA17" s="388"/>
      <c r="BB17" s="384"/>
      <c r="BC17" s="384"/>
      <c r="BD17" s="384"/>
      <c r="BE17" s="384"/>
      <c r="BF17" s="384"/>
      <c r="BG17" s="388"/>
      <c r="BH17" s="379"/>
      <c r="BI17" s="379"/>
      <c r="BJ17" s="379"/>
      <c r="BK17" s="389"/>
      <c r="BL17" s="331"/>
      <c r="BM17" s="331"/>
      <c r="BN17" s="390"/>
      <c r="BO17" s="392"/>
      <c r="BP17" s="393"/>
      <c r="BQ17" s="402"/>
      <c r="BR17" s="402"/>
      <c r="BS17" s="402"/>
      <c r="BT17" s="402"/>
      <c r="BU17" s="402"/>
      <c r="BV17" s="402"/>
      <c r="BW17" s="398"/>
      <c r="BX17" s="388"/>
      <c r="BY17" s="430"/>
    </row>
    <row r="18">
      <c r="A18" s="396">
        <f>Aules!A14</f>
        <v>5</v>
      </c>
      <c r="B18" s="396" t="str">
        <f>Aules!B14</f>
        <v>Miguel</v>
      </c>
      <c r="C18" s="396" t="str">
        <f>Aules!C14</f>
        <v>Capitán Barallobre</v>
      </c>
      <c r="D18" s="396" t="str">
        <f>GRUPS!E14</f>
        <v>JORDI</v>
      </c>
      <c r="E18" s="396" t="str">
        <f>GRUPS!F14</f>
        <v>B1</v>
      </c>
      <c r="F18" s="400" t="s">
        <v>608</v>
      </c>
      <c r="G18" s="8"/>
      <c r="H18" s="8"/>
      <c r="I18" s="354"/>
      <c r="J18" s="431"/>
      <c r="K18" s="431"/>
      <c r="L18" s="431"/>
      <c r="M18" s="431"/>
      <c r="N18" s="431"/>
      <c r="O18" s="355"/>
      <c r="P18" s="355"/>
      <c r="Q18" s="355"/>
      <c r="R18" s="355"/>
      <c r="S18" s="355"/>
      <c r="T18" s="354"/>
      <c r="U18" s="431"/>
      <c r="V18" s="431"/>
      <c r="W18" s="355"/>
      <c r="X18" s="355"/>
      <c r="Y18" s="355"/>
      <c r="Z18" s="355"/>
      <c r="AA18" s="355"/>
      <c r="AB18" s="431"/>
      <c r="AC18" s="431"/>
      <c r="AD18" s="431"/>
      <c r="AE18" s="354"/>
      <c r="AF18" s="436"/>
      <c r="AG18" s="431"/>
      <c r="AH18" s="431"/>
      <c r="AI18" s="355"/>
      <c r="AJ18" s="355"/>
      <c r="AK18" s="355"/>
      <c r="AL18" s="355"/>
      <c r="AM18" s="355"/>
      <c r="AN18" s="436"/>
      <c r="AO18" s="436"/>
      <c r="AP18" s="354"/>
      <c r="AQ18" s="431"/>
      <c r="AR18" s="431"/>
      <c r="AS18" s="355"/>
      <c r="AT18" s="355"/>
      <c r="AU18" s="355"/>
      <c r="AV18" s="355"/>
      <c r="AW18" s="355"/>
      <c r="AX18" s="355"/>
      <c r="AY18" s="355"/>
      <c r="AZ18" s="355"/>
      <c r="BA18" s="438"/>
      <c r="BB18" s="355"/>
      <c r="BC18" s="355"/>
      <c r="BD18" s="355"/>
      <c r="BE18" s="355"/>
      <c r="BF18" s="355"/>
      <c r="BG18" s="438"/>
      <c r="BH18" s="431"/>
      <c r="BI18" s="431"/>
      <c r="BJ18" s="431"/>
      <c r="BK18" s="8"/>
      <c r="BL18" s="150"/>
      <c r="BM18" s="150"/>
      <c r="BN18" s="202"/>
      <c r="BO18" s="360"/>
      <c r="BP18" s="361"/>
      <c r="BQ18" s="203"/>
      <c r="BR18" s="203"/>
      <c r="BS18" s="203"/>
      <c r="BT18" s="203"/>
      <c r="BU18" s="203"/>
      <c r="BV18" s="203"/>
      <c r="BW18" s="201"/>
      <c r="BX18" s="438"/>
      <c r="BY18" s="363"/>
    </row>
    <row r="19">
      <c r="A19" s="14"/>
      <c r="B19" s="396" t="str">
        <f>Aules!B15</f>
        <v>Arnau</v>
      </c>
      <c r="C19" s="396" t="str">
        <f>Aules!C15</f>
        <v>López Calzada</v>
      </c>
      <c r="D19" s="14"/>
      <c r="E19" s="14"/>
      <c r="F19" s="409" t="s">
        <v>622</v>
      </c>
      <c r="I19" s="369"/>
      <c r="J19" s="365"/>
      <c r="K19" s="365"/>
      <c r="L19" s="365"/>
      <c r="M19" s="365"/>
      <c r="N19" s="365"/>
      <c r="O19" s="370"/>
      <c r="P19" s="370"/>
      <c r="Q19" s="370"/>
      <c r="R19" s="370"/>
      <c r="S19" s="370"/>
      <c r="T19" s="369"/>
      <c r="U19" s="365"/>
      <c r="V19" s="365"/>
      <c r="W19" s="370"/>
      <c r="X19" s="370"/>
      <c r="Y19" s="370"/>
      <c r="Z19" s="370"/>
      <c r="AA19" s="370"/>
      <c r="AB19" s="365"/>
      <c r="AC19" s="365"/>
      <c r="AD19" s="365"/>
      <c r="AE19" s="369"/>
      <c r="AF19" s="371"/>
      <c r="AG19" s="365"/>
      <c r="AH19" s="365"/>
      <c r="AI19" s="370"/>
      <c r="AJ19" s="370"/>
      <c r="AK19" s="370"/>
      <c r="AL19" s="370"/>
      <c r="AM19" s="370"/>
      <c r="AN19" s="371"/>
      <c r="AO19" s="371"/>
      <c r="AP19" s="369"/>
      <c r="AQ19" s="365"/>
      <c r="AR19" s="365"/>
      <c r="AS19" s="370"/>
      <c r="AT19" s="370"/>
      <c r="AU19" s="370"/>
      <c r="AV19" s="370"/>
      <c r="AW19" s="370"/>
      <c r="AX19" s="370"/>
      <c r="AY19" s="370"/>
      <c r="AZ19" s="370"/>
      <c r="BA19" s="372"/>
      <c r="BB19" s="370"/>
      <c r="BC19" s="370"/>
      <c r="BD19" s="370"/>
      <c r="BE19" s="370"/>
      <c r="BF19" s="370"/>
      <c r="BG19" s="372"/>
      <c r="BH19" s="365"/>
      <c r="BI19" s="365"/>
      <c r="BJ19" s="365"/>
      <c r="BK19" s="31"/>
      <c r="BL19" s="31"/>
      <c r="BM19" s="31"/>
      <c r="BN19" s="373"/>
      <c r="BO19" s="374"/>
      <c r="BP19" s="375"/>
      <c r="BQ19" s="207"/>
      <c r="BR19" s="207"/>
      <c r="BS19" s="207"/>
      <c r="BT19" s="207"/>
      <c r="BU19" s="207"/>
      <c r="BV19" s="207"/>
      <c r="BW19" s="103"/>
      <c r="BX19" s="372"/>
      <c r="BY19" s="377"/>
    </row>
    <row r="20">
      <c r="A20" s="14"/>
      <c r="B20" s="396" t="str">
        <f>Aules!B16</f>
        <v>Daniel</v>
      </c>
      <c r="C20" s="396" t="str">
        <f>Aules!C16</f>
        <v>Barreto Madrid</v>
      </c>
      <c r="D20" s="14"/>
      <c r="E20" s="14"/>
      <c r="F20" s="409" t="s">
        <v>630</v>
      </c>
      <c r="I20" s="369"/>
      <c r="J20" s="410"/>
      <c r="K20" s="410"/>
      <c r="L20" s="410"/>
      <c r="M20" s="410"/>
      <c r="N20" s="410"/>
      <c r="O20" s="370"/>
      <c r="P20" s="370"/>
      <c r="Q20" s="370"/>
      <c r="R20" s="370"/>
      <c r="S20" s="370"/>
      <c r="T20" s="369"/>
      <c r="U20" s="410"/>
      <c r="V20" s="410"/>
      <c r="W20" s="370"/>
      <c r="X20" s="370"/>
      <c r="Y20" s="370"/>
      <c r="Z20" s="370"/>
      <c r="AA20" s="370"/>
      <c r="AB20" s="410"/>
      <c r="AC20" s="410"/>
      <c r="AD20" s="410"/>
      <c r="AE20" s="369"/>
      <c r="AF20" s="386"/>
      <c r="AG20" s="410"/>
      <c r="AH20" s="410"/>
      <c r="AI20" s="370"/>
      <c r="AJ20" s="370"/>
      <c r="AK20" s="370"/>
      <c r="AL20" s="370"/>
      <c r="AM20" s="370"/>
      <c r="AN20" s="386"/>
      <c r="AO20" s="386"/>
      <c r="AP20" s="369"/>
      <c r="AQ20" s="410"/>
      <c r="AR20" s="410"/>
      <c r="AS20" s="370"/>
      <c r="AT20" s="370"/>
      <c r="AU20" s="370"/>
      <c r="AV20" s="370"/>
      <c r="AW20" s="370"/>
      <c r="AX20" s="370"/>
      <c r="AY20" s="370"/>
      <c r="AZ20" s="370"/>
      <c r="BA20" s="388"/>
      <c r="BB20" s="370"/>
      <c r="BC20" s="370"/>
      <c r="BD20" s="370"/>
      <c r="BE20" s="370"/>
      <c r="BF20" s="370"/>
      <c r="BG20" s="388"/>
      <c r="BH20" s="410"/>
      <c r="BI20" s="410"/>
      <c r="BJ20" s="410"/>
      <c r="BK20" s="31"/>
      <c r="BL20" s="31"/>
      <c r="BM20" s="31"/>
      <c r="BN20" s="373"/>
      <c r="BO20" s="374"/>
      <c r="BP20" s="375"/>
      <c r="BQ20" s="113"/>
      <c r="BR20" s="113"/>
      <c r="BS20" s="113"/>
      <c r="BT20" s="113"/>
      <c r="BU20" s="113"/>
      <c r="BV20" s="113"/>
      <c r="BW20" s="376"/>
      <c r="BX20" s="388"/>
      <c r="BY20" s="443"/>
    </row>
    <row r="21">
      <c r="A21" s="417">
        <f>Aules!A17</f>
        <v>6</v>
      </c>
      <c r="B21" s="417" t="str">
        <f>Aules!B17</f>
        <v>XAVIER</v>
      </c>
      <c r="C21" s="417" t="str">
        <f>Aules!C17</f>
        <v>CONTRERAS GARRIDO</v>
      </c>
      <c r="D21" s="417" t="str">
        <f>GRUPS!E17</f>
        <v>OSCAR</v>
      </c>
      <c r="E21" s="417" t="str">
        <f>GRUPS!F17</f>
        <v>B1</v>
      </c>
      <c r="F21" s="426" t="s">
        <v>608</v>
      </c>
      <c r="G21" s="8"/>
      <c r="H21" s="8"/>
      <c r="I21" s="369"/>
      <c r="J21" s="379"/>
      <c r="K21" s="379"/>
      <c r="L21" s="379"/>
      <c r="M21" s="379"/>
      <c r="N21" s="379"/>
      <c r="O21" s="384"/>
      <c r="P21" s="384"/>
      <c r="Q21" s="384"/>
      <c r="R21" s="384"/>
      <c r="S21" s="384"/>
      <c r="T21" s="369"/>
      <c r="U21" s="379"/>
      <c r="V21" s="379"/>
      <c r="W21" s="384"/>
      <c r="X21" s="384"/>
      <c r="Y21" s="384"/>
      <c r="Z21" s="384"/>
      <c r="AA21" s="384"/>
      <c r="AB21" s="379"/>
      <c r="AC21" s="379"/>
      <c r="AD21" s="379"/>
      <c r="AE21" s="369"/>
      <c r="AF21" s="386"/>
      <c r="AG21" s="379"/>
      <c r="AH21" s="379"/>
      <c r="AI21" s="384"/>
      <c r="AJ21" s="384"/>
      <c r="AK21" s="384"/>
      <c r="AL21" s="384"/>
      <c r="AM21" s="384"/>
      <c r="AN21" s="386"/>
      <c r="AO21" s="386"/>
      <c r="AP21" s="369"/>
      <c r="AQ21" s="379"/>
      <c r="AR21" s="379"/>
      <c r="AS21" s="384"/>
      <c r="AT21" s="384"/>
      <c r="AU21" s="384"/>
      <c r="AV21" s="384"/>
      <c r="AW21" s="384"/>
      <c r="AX21" s="384"/>
      <c r="AY21" s="384"/>
      <c r="AZ21" s="384"/>
      <c r="BA21" s="388"/>
      <c r="BB21" s="384"/>
      <c r="BC21" s="384"/>
      <c r="BD21" s="384"/>
      <c r="BE21" s="384"/>
      <c r="BF21" s="384"/>
      <c r="BG21" s="388"/>
      <c r="BH21" s="379"/>
      <c r="BI21" s="379"/>
      <c r="BJ21" s="379"/>
      <c r="BK21" s="331"/>
      <c r="BL21" s="331"/>
      <c r="BM21" s="331"/>
      <c r="BN21" s="390"/>
      <c r="BO21" s="392"/>
      <c r="BP21" s="393"/>
      <c r="BQ21" s="402"/>
      <c r="BR21" s="402"/>
      <c r="BS21" s="402"/>
      <c r="BT21" s="402"/>
      <c r="BU21" s="402"/>
      <c r="BV21" s="402"/>
      <c r="BW21" s="416"/>
      <c r="BX21" s="388"/>
      <c r="BY21" s="430"/>
    </row>
    <row r="22">
      <c r="A22" s="14"/>
      <c r="B22" s="417" t="str">
        <f>Aules!B18</f>
        <v>Iker</v>
      </c>
      <c r="C22" s="417" t="str">
        <f>Aules!C18</f>
        <v>Cruces Alejo</v>
      </c>
      <c r="D22" s="14"/>
      <c r="E22" s="14"/>
      <c r="F22" s="437" t="s">
        <v>622</v>
      </c>
      <c r="I22" s="369"/>
      <c r="J22" s="379"/>
      <c r="K22" s="379"/>
      <c r="L22" s="379"/>
      <c r="M22" s="379"/>
      <c r="N22" s="379"/>
      <c r="O22" s="384"/>
      <c r="P22" s="384"/>
      <c r="Q22" s="384"/>
      <c r="R22" s="384"/>
      <c r="S22" s="384"/>
      <c r="T22" s="369"/>
      <c r="U22" s="379"/>
      <c r="V22" s="379"/>
      <c r="W22" s="384"/>
      <c r="X22" s="384"/>
      <c r="Y22" s="384"/>
      <c r="Z22" s="384"/>
      <c r="AA22" s="384"/>
      <c r="AB22" s="379"/>
      <c r="AC22" s="379"/>
      <c r="AD22" s="379"/>
      <c r="AE22" s="369"/>
      <c r="AF22" s="386"/>
      <c r="AG22" s="379"/>
      <c r="AH22" s="379"/>
      <c r="AI22" s="384"/>
      <c r="AJ22" s="384"/>
      <c r="AK22" s="384"/>
      <c r="AL22" s="384"/>
      <c r="AM22" s="384"/>
      <c r="AN22" s="386"/>
      <c r="AO22" s="386"/>
      <c r="AP22" s="369"/>
      <c r="AQ22" s="379"/>
      <c r="AR22" s="379"/>
      <c r="AS22" s="384"/>
      <c r="AT22" s="384"/>
      <c r="AU22" s="384"/>
      <c r="AV22" s="384"/>
      <c r="AW22" s="384"/>
      <c r="AX22" s="384"/>
      <c r="AY22" s="384"/>
      <c r="AZ22" s="384"/>
      <c r="BA22" s="388"/>
      <c r="BB22" s="384"/>
      <c r="BC22" s="384"/>
      <c r="BD22" s="384"/>
      <c r="BE22" s="384"/>
      <c r="BF22" s="384"/>
      <c r="BG22" s="388"/>
      <c r="BH22" s="379"/>
      <c r="BI22" s="379"/>
      <c r="BJ22" s="379"/>
      <c r="BK22" s="389"/>
      <c r="BL22" s="331"/>
      <c r="BM22" s="331"/>
      <c r="BN22" s="390"/>
      <c r="BO22" s="392"/>
      <c r="BP22" s="393"/>
      <c r="BQ22" s="391"/>
      <c r="BR22" s="391"/>
      <c r="BS22" s="391"/>
      <c r="BT22" s="391"/>
      <c r="BU22" s="391"/>
      <c r="BV22" s="391"/>
      <c r="BW22" s="395"/>
      <c r="BX22" s="388"/>
      <c r="BY22" s="430"/>
    </row>
    <row r="23">
      <c r="A23" s="14"/>
      <c r="B23" s="417" t="str">
        <f>Aules!B19</f>
        <v>Hector</v>
      </c>
      <c r="C23" s="417" t="str">
        <f>Aules!C19</f>
        <v>Galindo Matías</v>
      </c>
      <c r="D23" s="14"/>
      <c r="E23" s="14"/>
      <c r="F23" s="437" t="s">
        <v>630</v>
      </c>
      <c r="I23" s="369"/>
      <c r="J23" s="379"/>
      <c r="K23" s="379"/>
      <c r="L23" s="379"/>
      <c r="M23" s="379"/>
      <c r="N23" s="379"/>
      <c r="O23" s="384"/>
      <c r="P23" s="384"/>
      <c r="Q23" s="384"/>
      <c r="R23" s="384"/>
      <c r="S23" s="384"/>
      <c r="T23" s="369"/>
      <c r="U23" s="379"/>
      <c r="V23" s="379"/>
      <c r="W23" s="384"/>
      <c r="X23" s="384"/>
      <c r="Y23" s="384"/>
      <c r="Z23" s="384"/>
      <c r="AA23" s="384"/>
      <c r="AB23" s="379"/>
      <c r="AC23" s="379"/>
      <c r="AD23" s="379"/>
      <c r="AE23" s="369"/>
      <c r="AF23" s="386"/>
      <c r="AG23" s="379"/>
      <c r="AH23" s="379"/>
      <c r="AI23" s="384"/>
      <c r="AJ23" s="384"/>
      <c r="AK23" s="384"/>
      <c r="AL23" s="384"/>
      <c r="AM23" s="384"/>
      <c r="AN23" s="386"/>
      <c r="AO23" s="386"/>
      <c r="AP23" s="369"/>
      <c r="AQ23" s="379"/>
      <c r="AR23" s="379"/>
      <c r="AS23" s="384"/>
      <c r="AT23" s="384"/>
      <c r="AU23" s="384"/>
      <c r="AV23" s="384"/>
      <c r="AW23" s="384"/>
      <c r="AX23" s="384"/>
      <c r="AY23" s="384"/>
      <c r="AZ23" s="384"/>
      <c r="BA23" s="388"/>
      <c r="BB23" s="384"/>
      <c r="BC23" s="384"/>
      <c r="BD23" s="384"/>
      <c r="BE23" s="384"/>
      <c r="BF23" s="384"/>
      <c r="BG23" s="388"/>
      <c r="BH23" s="379"/>
      <c r="BI23" s="379"/>
      <c r="BJ23" s="379"/>
      <c r="BK23" s="389"/>
      <c r="BL23" s="331"/>
      <c r="BM23" s="331"/>
      <c r="BN23" s="390"/>
      <c r="BO23" s="392"/>
      <c r="BP23" s="393"/>
      <c r="BQ23" s="402"/>
      <c r="BR23" s="402"/>
      <c r="BS23" s="402"/>
      <c r="BT23" s="402"/>
      <c r="BU23" s="402"/>
      <c r="BV23" s="402"/>
      <c r="BW23" s="398"/>
      <c r="BX23" s="388"/>
      <c r="BY23" s="430"/>
    </row>
    <row r="24">
      <c r="A24" s="396">
        <f>Aules!A20</f>
        <v>7</v>
      </c>
      <c r="B24" s="396" t="str">
        <f>Aules!B20</f>
        <v>Abel</v>
      </c>
      <c r="C24" s="396" t="str">
        <f>Aules!C20</f>
        <v>Garcia Tomás</v>
      </c>
      <c r="D24" s="396" t="str">
        <f>GRUPS!E20</f>
        <v>PAU</v>
      </c>
      <c r="E24" s="396" t="str">
        <f>GRUPS!F20</f>
        <v>A2</v>
      </c>
      <c r="F24" s="400" t="s">
        <v>608</v>
      </c>
      <c r="G24" s="8"/>
      <c r="H24" s="8"/>
      <c r="I24" s="369"/>
      <c r="J24" s="410"/>
      <c r="K24" s="410"/>
      <c r="L24" s="410"/>
      <c r="M24" s="410"/>
      <c r="N24" s="410"/>
      <c r="O24" s="370"/>
      <c r="P24" s="370"/>
      <c r="Q24" s="370"/>
      <c r="R24" s="370"/>
      <c r="S24" s="370"/>
      <c r="T24" s="369"/>
      <c r="U24" s="410"/>
      <c r="V24" s="410"/>
      <c r="W24" s="370"/>
      <c r="X24" s="370"/>
      <c r="Y24" s="370"/>
      <c r="Z24" s="370"/>
      <c r="AA24" s="370"/>
      <c r="AB24" s="410"/>
      <c r="AC24" s="410"/>
      <c r="AD24" s="410"/>
      <c r="AE24" s="369"/>
      <c r="AF24" s="386"/>
      <c r="AG24" s="410"/>
      <c r="AH24" s="410"/>
      <c r="AI24" s="370"/>
      <c r="AJ24" s="370"/>
      <c r="AK24" s="370"/>
      <c r="AL24" s="370"/>
      <c r="AM24" s="370"/>
      <c r="AN24" s="386"/>
      <c r="AO24" s="386"/>
      <c r="AP24" s="369"/>
      <c r="AQ24" s="410"/>
      <c r="AR24" s="410"/>
      <c r="AS24" s="370"/>
      <c r="AT24" s="370"/>
      <c r="AU24" s="370"/>
      <c r="AV24" s="370"/>
      <c r="AW24" s="370"/>
      <c r="AX24" s="370"/>
      <c r="AY24" s="370"/>
      <c r="AZ24" s="370"/>
      <c r="BA24" s="388"/>
      <c r="BB24" s="370"/>
      <c r="BC24" s="370"/>
      <c r="BD24" s="370"/>
      <c r="BE24" s="370"/>
      <c r="BF24" s="370"/>
      <c r="BG24" s="388"/>
      <c r="BH24" s="410"/>
      <c r="BI24" s="410"/>
      <c r="BJ24" s="410"/>
      <c r="BL24" s="31"/>
      <c r="BM24" s="31"/>
      <c r="BN24" s="262"/>
      <c r="BO24" s="374"/>
      <c r="BP24" s="375"/>
      <c r="BQ24" s="113"/>
      <c r="BR24" s="113"/>
      <c r="BS24" s="113"/>
      <c r="BT24" s="113"/>
      <c r="BU24" s="113"/>
      <c r="BV24" s="113"/>
      <c r="BW24" s="411"/>
      <c r="BX24" s="388"/>
      <c r="BY24" s="443"/>
    </row>
    <row r="25">
      <c r="A25" s="14"/>
      <c r="B25" s="396" t="str">
        <f>Aules!B21</f>
        <v>Gerard</v>
      </c>
      <c r="C25" s="396" t="str">
        <f>Aules!C21</f>
        <v>Mandret Ramos</v>
      </c>
      <c r="D25" s="14"/>
      <c r="E25" s="14"/>
      <c r="F25" s="409" t="s">
        <v>622</v>
      </c>
      <c r="I25" s="369"/>
      <c r="J25" s="410"/>
      <c r="K25" s="410"/>
      <c r="L25" s="410"/>
      <c r="M25" s="410"/>
      <c r="N25" s="410"/>
      <c r="O25" s="370"/>
      <c r="P25" s="370"/>
      <c r="Q25" s="370"/>
      <c r="R25" s="370"/>
      <c r="S25" s="370"/>
      <c r="T25" s="369"/>
      <c r="U25" s="410"/>
      <c r="V25" s="410"/>
      <c r="W25" s="370"/>
      <c r="X25" s="370"/>
      <c r="Y25" s="370"/>
      <c r="Z25" s="370"/>
      <c r="AA25" s="370"/>
      <c r="AB25" s="410"/>
      <c r="AC25" s="410"/>
      <c r="AD25" s="410"/>
      <c r="AE25" s="369"/>
      <c r="AF25" s="386"/>
      <c r="AG25" s="410"/>
      <c r="AH25" s="410"/>
      <c r="AI25" s="370"/>
      <c r="AJ25" s="370"/>
      <c r="AK25" s="370"/>
      <c r="AL25" s="370"/>
      <c r="AM25" s="370"/>
      <c r="AN25" s="386"/>
      <c r="AO25" s="386"/>
      <c r="AP25" s="369"/>
      <c r="AQ25" s="410"/>
      <c r="AR25" s="410"/>
      <c r="AS25" s="370"/>
      <c r="AT25" s="370"/>
      <c r="AU25" s="370"/>
      <c r="AV25" s="370"/>
      <c r="AW25" s="370"/>
      <c r="AX25" s="370"/>
      <c r="AY25" s="370"/>
      <c r="AZ25" s="370"/>
      <c r="BA25" s="388"/>
      <c r="BB25" s="370"/>
      <c r="BC25" s="370"/>
      <c r="BD25" s="370"/>
      <c r="BE25" s="370"/>
      <c r="BF25" s="370"/>
      <c r="BG25" s="388"/>
      <c r="BH25" s="410"/>
      <c r="BI25" s="410"/>
      <c r="BJ25" s="410"/>
      <c r="BK25" s="31"/>
      <c r="BL25" s="31"/>
      <c r="BM25" s="31"/>
      <c r="BN25" s="373"/>
      <c r="BO25" s="374"/>
      <c r="BP25" s="373"/>
      <c r="BQ25" s="207"/>
      <c r="BR25" s="207"/>
      <c r="BS25" s="207"/>
      <c r="BT25" s="207"/>
      <c r="BU25" s="207"/>
      <c r="BV25" s="207"/>
      <c r="BW25" s="407"/>
      <c r="BX25" s="388"/>
      <c r="BY25" s="443"/>
    </row>
    <row r="26">
      <c r="A26" s="14"/>
      <c r="B26" s="396" t="str">
        <f>Aules!B22</f>
        <v>Mohamed</v>
      </c>
      <c r="C26" s="396" t="str">
        <f>Aules!C22</f>
        <v>Souane Koma</v>
      </c>
      <c r="D26" s="14"/>
      <c r="E26" s="14"/>
      <c r="F26" s="409" t="s">
        <v>630</v>
      </c>
      <c r="I26" s="369"/>
      <c r="J26" s="410"/>
      <c r="K26" s="410"/>
      <c r="L26" s="410"/>
      <c r="M26" s="410"/>
      <c r="N26" s="410"/>
      <c r="O26" s="370"/>
      <c r="P26" s="370"/>
      <c r="Q26" s="370"/>
      <c r="R26" s="370"/>
      <c r="S26" s="370"/>
      <c r="T26" s="369"/>
      <c r="U26" s="410"/>
      <c r="V26" s="410"/>
      <c r="W26" s="370"/>
      <c r="X26" s="370"/>
      <c r="Y26" s="370"/>
      <c r="Z26" s="370"/>
      <c r="AA26" s="370"/>
      <c r="AB26" s="410"/>
      <c r="AC26" s="410"/>
      <c r="AD26" s="410"/>
      <c r="AE26" s="369"/>
      <c r="AF26" s="386"/>
      <c r="AG26" s="410"/>
      <c r="AH26" s="410"/>
      <c r="AI26" s="370"/>
      <c r="AJ26" s="370"/>
      <c r="AK26" s="370"/>
      <c r="AL26" s="370"/>
      <c r="AM26" s="370"/>
      <c r="AN26" s="386"/>
      <c r="AO26" s="386"/>
      <c r="AP26" s="369"/>
      <c r="AQ26" s="410"/>
      <c r="AR26" s="410"/>
      <c r="AS26" s="370"/>
      <c r="AT26" s="370"/>
      <c r="AU26" s="370"/>
      <c r="AV26" s="370"/>
      <c r="AW26" s="370"/>
      <c r="AX26" s="370"/>
      <c r="AY26" s="370"/>
      <c r="AZ26" s="370"/>
      <c r="BA26" s="388"/>
      <c r="BB26" s="370"/>
      <c r="BC26" s="370"/>
      <c r="BD26" s="370"/>
      <c r="BE26" s="370"/>
      <c r="BF26" s="370"/>
      <c r="BG26" s="388"/>
      <c r="BH26" s="410"/>
      <c r="BI26" s="410"/>
      <c r="BJ26" s="410"/>
      <c r="BK26" s="31"/>
      <c r="BL26" s="31"/>
      <c r="BM26" s="31"/>
      <c r="BN26" s="373"/>
      <c r="BO26" s="374"/>
      <c r="BP26" s="373"/>
      <c r="BQ26" s="113"/>
      <c r="BR26" s="113"/>
      <c r="BS26" s="113"/>
      <c r="BT26" s="113"/>
      <c r="BU26" s="113"/>
      <c r="BV26" s="113"/>
      <c r="BW26" s="376"/>
      <c r="BX26" s="388"/>
      <c r="BY26" s="377"/>
    </row>
    <row r="27">
      <c r="A27" s="417">
        <f>Aules!A23</f>
        <v>8</v>
      </c>
      <c r="B27" s="417" t="str">
        <f>Aules!B23</f>
        <v>Alex</v>
      </c>
      <c r="C27" s="417" t="str">
        <f>Aules!C23</f>
        <v>Ortega Carmona</v>
      </c>
      <c r="D27" s="417" t="str">
        <f>GRUPS!E23</f>
        <v>ASPAS</v>
      </c>
      <c r="E27" s="417" t="str">
        <f>GRUPS!F23</f>
        <v>A2</v>
      </c>
      <c r="F27" s="426" t="s">
        <v>608</v>
      </c>
      <c r="G27" s="8"/>
      <c r="H27" s="8"/>
      <c r="I27" s="369"/>
      <c r="J27" s="379"/>
      <c r="K27" s="379"/>
      <c r="L27" s="379"/>
      <c r="M27" s="379"/>
      <c r="N27" s="379"/>
      <c r="O27" s="384"/>
      <c r="P27" s="384"/>
      <c r="Q27" s="384"/>
      <c r="R27" s="384"/>
      <c r="S27" s="384"/>
      <c r="T27" s="369"/>
      <c r="U27" s="379"/>
      <c r="V27" s="379"/>
      <c r="W27" s="384"/>
      <c r="X27" s="384"/>
      <c r="Y27" s="384"/>
      <c r="Z27" s="384"/>
      <c r="AA27" s="384"/>
      <c r="AB27" s="379"/>
      <c r="AC27" s="379"/>
      <c r="AD27" s="379"/>
      <c r="AE27" s="369"/>
      <c r="AF27" s="386"/>
      <c r="AG27" s="379"/>
      <c r="AH27" s="379"/>
      <c r="AI27" s="384"/>
      <c r="AJ27" s="384"/>
      <c r="AK27" s="384"/>
      <c r="AL27" s="384"/>
      <c r="AM27" s="384"/>
      <c r="AN27" s="386"/>
      <c r="AO27" s="386"/>
      <c r="AP27" s="369"/>
      <c r="AQ27" s="379"/>
      <c r="AR27" s="379"/>
      <c r="AS27" s="384"/>
      <c r="AT27" s="384"/>
      <c r="AU27" s="384"/>
      <c r="AV27" s="384"/>
      <c r="AW27" s="384"/>
      <c r="AX27" s="384"/>
      <c r="AY27" s="384"/>
      <c r="AZ27" s="384"/>
      <c r="BA27" s="388"/>
      <c r="BB27" s="384"/>
      <c r="BC27" s="384"/>
      <c r="BD27" s="384"/>
      <c r="BE27" s="384"/>
      <c r="BF27" s="384"/>
      <c r="BG27" s="388"/>
      <c r="BH27" s="379"/>
      <c r="BI27" s="379"/>
      <c r="BJ27" s="379"/>
      <c r="BK27" s="331"/>
      <c r="BL27" s="331"/>
      <c r="BM27" s="331"/>
      <c r="BN27" s="390"/>
      <c r="BO27" s="392"/>
      <c r="BP27" s="390"/>
      <c r="BQ27" s="402"/>
      <c r="BR27" s="402"/>
      <c r="BS27" s="402"/>
      <c r="BT27" s="402"/>
      <c r="BU27" s="402"/>
      <c r="BV27" s="402"/>
      <c r="BW27" s="416"/>
      <c r="BX27" s="388"/>
      <c r="BY27" s="335"/>
    </row>
    <row r="28">
      <c r="A28" s="14"/>
      <c r="B28" s="417" t="str">
        <f>Aules!B24</f>
        <v>Marc</v>
      </c>
      <c r="C28" s="417" t="str">
        <f>Aules!C24</f>
        <v>Tiscar Guisado</v>
      </c>
      <c r="D28" s="14"/>
      <c r="E28" s="14"/>
      <c r="F28" s="437" t="s">
        <v>622</v>
      </c>
      <c r="I28" s="369"/>
      <c r="J28" s="379"/>
      <c r="K28" s="379"/>
      <c r="L28" s="379"/>
      <c r="M28" s="379"/>
      <c r="N28" s="379"/>
      <c r="O28" s="384"/>
      <c r="P28" s="384"/>
      <c r="Q28" s="384"/>
      <c r="R28" s="384"/>
      <c r="S28" s="384"/>
      <c r="T28" s="369"/>
      <c r="U28" s="379"/>
      <c r="V28" s="379"/>
      <c r="W28" s="384"/>
      <c r="X28" s="384"/>
      <c r="Y28" s="384"/>
      <c r="Z28" s="384"/>
      <c r="AA28" s="384"/>
      <c r="AB28" s="379"/>
      <c r="AC28" s="379"/>
      <c r="AD28" s="379"/>
      <c r="AE28" s="369"/>
      <c r="AF28" s="386"/>
      <c r="AG28" s="379"/>
      <c r="AH28" s="379"/>
      <c r="AI28" s="384"/>
      <c r="AJ28" s="384"/>
      <c r="AK28" s="384"/>
      <c r="AL28" s="384"/>
      <c r="AM28" s="384"/>
      <c r="AN28" s="386"/>
      <c r="AO28" s="386"/>
      <c r="AP28" s="369"/>
      <c r="AQ28" s="379"/>
      <c r="AR28" s="379"/>
      <c r="AS28" s="384"/>
      <c r="AT28" s="384"/>
      <c r="AU28" s="384"/>
      <c r="AV28" s="384"/>
      <c r="AW28" s="384"/>
      <c r="AX28" s="384"/>
      <c r="AY28" s="384"/>
      <c r="AZ28" s="384"/>
      <c r="BA28" s="388"/>
      <c r="BB28" s="384"/>
      <c r="BC28" s="384"/>
      <c r="BD28" s="384"/>
      <c r="BE28" s="384"/>
      <c r="BF28" s="384"/>
      <c r="BG28" s="388"/>
      <c r="BH28" s="379"/>
      <c r="BI28" s="379"/>
      <c r="BJ28" s="379"/>
      <c r="BK28" s="389"/>
      <c r="BL28" s="331"/>
      <c r="BM28" s="331"/>
      <c r="BN28" s="390"/>
      <c r="BO28" s="392"/>
      <c r="BP28" s="390"/>
      <c r="BQ28" s="391"/>
      <c r="BR28" s="391"/>
      <c r="BS28" s="391"/>
      <c r="BT28" s="391"/>
      <c r="BU28" s="391"/>
      <c r="BV28" s="391"/>
      <c r="BW28" s="395"/>
      <c r="BX28" s="388"/>
      <c r="BY28" s="335"/>
    </row>
    <row r="29">
      <c r="A29" s="14"/>
      <c r="B29" s="417" t="str">
        <f>Aules!B25</f>
        <v>Erik</v>
      </c>
      <c r="C29" s="417" t="str">
        <f>Aules!C25</f>
        <v>Lara Vera</v>
      </c>
      <c r="D29" s="14"/>
      <c r="E29" s="14"/>
      <c r="F29" s="437" t="s">
        <v>630</v>
      </c>
      <c r="I29" s="369"/>
      <c r="J29" s="379"/>
      <c r="K29" s="379"/>
      <c r="L29" s="379"/>
      <c r="M29" s="379"/>
      <c r="N29" s="379"/>
      <c r="O29" s="384"/>
      <c r="P29" s="384"/>
      <c r="Q29" s="384"/>
      <c r="R29" s="384"/>
      <c r="S29" s="384"/>
      <c r="T29" s="369"/>
      <c r="U29" s="379"/>
      <c r="V29" s="379"/>
      <c r="W29" s="384"/>
      <c r="X29" s="384"/>
      <c r="Y29" s="384"/>
      <c r="Z29" s="384"/>
      <c r="AA29" s="384"/>
      <c r="AB29" s="379"/>
      <c r="AC29" s="379"/>
      <c r="AD29" s="379"/>
      <c r="AE29" s="369"/>
      <c r="AF29" s="386"/>
      <c r="AG29" s="379"/>
      <c r="AH29" s="379"/>
      <c r="AI29" s="384"/>
      <c r="AJ29" s="384"/>
      <c r="AK29" s="384"/>
      <c r="AL29" s="384"/>
      <c r="AM29" s="384"/>
      <c r="AN29" s="386"/>
      <c r="AO29" s="386"/>
      <c r="AP29" s="369"/>
      <c r="AQ29" s="379"/>
      <c r="AR29" s="379"/>
      <c r="AS29" s="384"/>
      <c r="AT29" s="384"/>
      <c r="AU29" s="384"/>
      <c r="AV29" s="384"/>
      <c r="AW29" s="384"/>
      <c r="AX29" s="384"/>
      <c r="AY29" s="384"/>
      <c r="AZ29" s="384"/>
      <c r="BA29" s="388"/>
      <c r="BB29" s="384"/>
      <c r="BC29" s="384"/>
      <c r="BD29" s="384"/>
      <c r="BE29" s="384"/>
      <c r="BF29" s="384"/>
      <c r="BG29" s="388"/>
      <c r="BH29" s="379"/>
      <c r="BI29" s="379"/>
      <c r="BJ29" s="379"/>
      <c r="BK29" s="389"/>
      <c r="BL29" s="331"/>
      <c r="BM29" s="331"/>
      <c r="BN29" s="390"/>
      <c r="BO29" s="392"/>
      <c r="BP29" s="390"/>
      <c r="BQ29" s="402"/>
      <c r="BR29" s="402"/>
      <c r="BS29" s="402"/>
      <c r="BT29" s="402"/>
      <c r="BU29" s="402"/>
      <c r="BV29" s="402"/>
      <c r="BW29" s="398"/>
      <c r="BX29" s="388"/>
      <c r="BY29" s="335"/>
    </row>
    <row r="30">
      <c r="A30" s="14"/>
      <c r="B30" s="417" t="str">
        <f>Aules!B26</f>
        <v>Joel</v>
      </c>
      <c r="C30" s="417" t="str">
        <f>Aules!C26</f>
        <v>Prados</v>
      </c>
      <c r="D30" s="417"/>
      <c r="E30" s="417"/>
      <c r="F30" s="437"/>
      <c r="G30" s="437"/>
      <c r="H30" s="437"/>
      <c r="I30" s="369"/>
      <c r="J30" s="410"/>
      <c r="K30" s="410"/>
      <c r="L30" s="410"/>
      <c r="M30" s="410"/>
      <c r="N30" s="410"/>
      <c r="O30" s="370"/>
      <c r="P30" s="370"/>
      <c r="Q30" s="370"/>
      <c r="R30" s="370"/>
      <c r="S30" s="370"/>
      <c r="T30" s="369"/>
      <c r="U30" s="410"/>
      <c r="V30" s="410"/>
      <c r="W30" s="370"/>
      <c r="X30" s="370"/>
      <c r="Y30" s="370"/>
      <c r="Z30" s="370"/>
      <c r="AA30" s="370"/>
      <c r="AB30" s="410"/>
      <c r="AC30" s="410"/>
      <c r="AD30" s="410"/>
      <c r="AE30" s="369"/>
      <c r="AF30" s="386"/>
      <c r="AG30" s="410"/>
      <c r="AH30" s="410"/>
      <c r="AI30" s="370"/>
      <c r="AJ30" s="370"/>
      <c r="AK30" s="370"/>
      <c r="AL30" s="370"/>
      <c r="AM30" s="370"/>
      <c r="AN30" s="386"/>
      <c r="AO30" s="386"/>
      <c r="AP30" s="369"/>
      <c r="AQ30" s="410"/>
      <c r="AR30" s="410"/>
      <c r="AS30" s="370"/>
      <c r="AT30" s="370"/>
      <c r="AU30" s="370"/>
      <c r="AV30" s="370"/>
      <c r="AW30" s="370"/>
      <c r="AX30" s="370"/>
      <c r="AY30" s="370"/>
      <c r="AZ30" s="370"/>
      <c r="BA30" s="388"/>
      <c r="BB30" s="370"/>
      <c r="BC30" s="370"/>
      <c r="BD30" s="370"/>
      <c r="BE30" s="370"/>
      <c r="BF30" s="370"/>
      <c r="BG30" s="388"/>
      <c r="BH30" s="410"/>
      <c r="BI30" s="410"/>
      <c r="BJ30" s="410"/>
      <c r="BL30" s="31"/>
      <c r="BM30" s="31"/>
      <c r="BN30" s="262"/>
      <c r="BO30" s="374"/>
      <c r="BP30" s="262"/>
      <c r="BQ30" s="113"/>
      <c r="BR30" s="113"/>
      <c r="BS30" s="113"/>
      <c r="BT30" s="113"/>
      <c r="BU30" s="113"/>
      <c r="BV30" s="113"/>
      <c r="BW30" s="411"/>
      <c r="BX30" s="388"/>
      <c r="BY30" s="377"/>
    </row>
    <row r="31">
      <c r="A31" s="396">
        <f>Aules!A27</f>
        <v>9</v>
      </c>
      <c r="B31" s="396" t="str">
        <f>Aules!B27</f>
        <v>Lluís</v>
      </c>
      <c r="C31" s="396" t="str">
        <f>Aules!C27</f>
        <v>del Moral Prados</v>
      </c>
      <c r="D31" s="396" t="s">
        <v>162</v>
      </c>
      <c r="E31" s="396" t="s">
        <v>159</v>
      </c>
      <c r="F31" s="400" t="s">
        <v>608</v>
      </c>
      <c r="G31" s="8"/>
      <c r="H31" s="8"/>
      <c r="I31" s="369"/>
      <c r="J31" s="410"/>
      <c r="K31" s="410"/>
      <c r="L31" s="410"/>
      <c r="M31" s="410"/>
      <c r="N31" s="410"/>
      <c r="O31" s="370"/>
      <c r="P31" s="370"/>
      <c r="Q31" s="370"/>
      <c r="R31" s="370"/>
      <c r="S31" s="370"/>
      <c r="T31" s="369"/>
      <c r="U31" s="410"/>
      <c r="V31" s="410"/>
      <c r="W31" s="370"/>
      <c r="X31" s="370"/>
      <c r="Y31" s="370"/>
      <c r="Z31" s="370"/>
      <c r="AA31" s="370"/>
      <c r="AB31" s="410"/>
      <c r="AC31" s="410"/>
      <c r="AD31" s="410"/>
      <c r="AE31" s="369"/>
      <c r="AF31" s="386"/>
      <c r="AG31" s="410"/>
      <c r="AH31" s="410"/>
      <c r="AI31" s="370"/>
      <c r="AJ31" s="370"/>
      <c r="AK31" s="370"/>
      <c r="AL31" s="370"/>
      <c r="AM31" s="370"/>
      <c r="AN31" s="386"/>
      <c r="AO31" s="386"/>
      <c r="AP31" s="369"/>
      <c r="AQ31" s="410"/>
      <c r="AR31" s="410"/>
      <c r="AS31" s="370"/>
      <c r="AT31" s="370"/>
      <c r="AU31" s="370"/>
      <c r="AV31" s="370"/>
      <c r="AW31" s="370"/>
      <c r="AX31" s="370"/>
      <c r="AY31" s="370"/>
      <c r="AZ31" s="370"/>
      <c r="BA31" s="388"/>
      <c r="BB31" s="370"/>
      <c r="BC31" s="370"/>
      <c r="BD31" s="370"/>
      <c r="BE31" s="370"/>
      <c r="BF31" s="370"/>
      <c r="BG31" s="388"/>
      <c r="BH31" s="410"/>
      <c r="BI31" s="410"/>
      <c r="BJ31" s="410"/>
      <c r="BK31" s="31"/>
      <c r="BL31" s="31"/>
      <c r="BM31" s="31"/>
      <c r="BN31" s="373"/>
      <c r="BO31" s="374"/>
      <c r="BP31" s="375"/>
      <c r="BQ31" s="207"/>
      <c r="BR31" s="207"/>
      <c r="BS31" s="207"/>
      <c r="BT31" s="207"/>
      <c r="BU31" s="207"/>
      <c r="BV31" s="207"/>
      <c r="BW31" s="407"/>
      <c r="BX31" s="388"/>
      <c r="BY31" s="377"/>
    </row>
    <row r="32">
      <c r="A32" s="14"/>
      <c r="B32" s="396" t="str">
        <f>Aules!B28</f>
        <v>Ivo</v>
      </c>
      <c r="C32" s="396" t="str">
        <f>Aules!C28</f>
        <v>Ivaylov Georgiev</v>
      </c>
      <c r="D32" s="14"/>
      <c r="E32" s="14"/>
      <c r="F32" s="409" t="s">
        <v>622</v>
      </c>
      <c r="I32" s="369"/>
      <c r="J32" s="410"/>
      <c r="K32" s="410"/>
      <c r="L32" s="410"/>
      <c r="M32" s="410"/>
      <c r="N32" s="410"/>
      <c r="O32" s="370"/>
      <c r="P32" s="370"/>
      <c r="Q32" s="370"/>
      <c r="R32" s="370"/>
      <c r="S32" s="370"/>
      <c r="T32" s="369"/>
      <c r="U32" s="410"/>
      <c r="V32" s="410"/>
      <c r="W32" s="370"/>
      <c r="X32" s="370"/>
      <c r="Y32" s="370"/>
      <c r="Z32" s="370"/>
      <c r="AA32" s="370"/>
      <c r="AB32" s="410"/>
      <c r="AC32" s="410"/>
      <c r="AD32" s="410"/>
      <c r="AE32" s="369"/>
      <c r="AF32" s="386"/>
      <c r="AG32" s="410"/>
      <c r="AH32" s="410"/>
      <c r="AI32" s="370"/>
      <c r="AJ32" s="370"/>
      <c r="AK32" s="370"/>
      <c r="AL32" s="370"/>
      <c r="AM32" s="370"/>
      <c r="AN32" s="386"/>
      <c r="AO32" s="386"/>
      <c r="AP32" s="369"/>
      <c r="AQ32" s="410"/>
      <c r="AR32" s="410"/>
      <c r="AS32" s="370"/>
      <c r="AT32" s="370"/>
      <c r="AU32" s="370"/>
      <c r="AV32" s="370"/>
      <c r="AW32" s="370"/>
      <c r="AX32" s="370"/>
      <c r="AY32" s="370"/>
      <c r="AZ32" s="370"/>
      <c r="BA32" s="388"/>
      <c r="BB32" s="370"/>
      <c r="BC32" s="370"/>
      <c r="BD32" s="370"/>
      <c r="BE32" s="370"/>
      <c r="BF32" s="370"/>
      <c r="BG32" s="388"/>
      <c r="BH32" s="410"/>
      <c r="BI32" s="410"/>
      <c r="BJ32" s="410"/>
      <c r="BK32" s="31"/>
      <c r="BL32" s="31"/>
      <c r="BM32" s="31"/>
      <c r="BN32" s="373"/>
      <c r="BO32" s="374"/>
      <c r="BP32" s="375"/>
      <c r="BQ32" s="113"/>
      <c r="BR32" s="113"/>
      <c r="BS32" s="113"/>
      <c r="BT32" s="113"/>
      <c r="BU32" s="113"/>
      <c r="BV32" s="113"/>
      <c r="BW32" s="376"/>
      <c r="BX32" s="388"/>
      <c r="BY32" s="377"/>
    </row>
    <row r="33">
      <c r="A33" s="14"/>
      <c r="B33" s="396" t="str">
        <f>Aules!B29</f>
        <v>Aaron</v>
      </c>
      <c r="C33" s="396" t="str">
        <f>Aules!C29</f>
        <v>López Mañé</v>
      </c>
      <c r="D33" s="14"/>
      <c r="E33" s="14"/>
      <c r="F33" s="409" t="s">
        <v>630</v>
      </c>
      <c r="I33" s="369"/>
      <c r="J33" s="379"/>
      <c r="K33" s="379"/>
      <c r="L33" s="379"/>
      <c r="M33" s="379"/>
      <c r="N33" s="379"/>
      <c r="O33" s="384"/>
      <c r="P33" s="384"/>
      <c r="Q33" s="384"/>
      <c r="R33" s="384"/>
      <c r="S33" s="384"/>
      <c r="T33" s="369"/>
      <c r="U33" s="379"/>
      <c r="V33" s="379"/>
      <c r="W33" s="384"/>
      <c r="X33" s="384"/>
      <c r="Y33" s="384"/>
      <c r="Z33" s="384"/>
      <c r="AA33" s="384"/>
      <c r="AB33" s="379"/>
      <c r="AC33" s="379"/>
      <c r="AD33" s="379"/>
      <c r="AE33" s="369"/>
      <c r="AF33" s="386"/>
      <c r="AG33" s="379"/>
      <c r="AH33" s="379"/>
      <c r="AI33" s="384"/>
      <c r="AJ33" s="384"/>
      <c r="AK33" s="384"/>
      <c r="AL33" s="384"/>
      <c r="AM33" s="384"/>
      <c r="AN33" s="386"/>
      <c r="AO33" s="386"/>
      <c r="AP33" s="369"/>
      <c r="AQ33" s="379"/>
      <c r="AR33" s="379"/>
      <c r="AS33" s="384"/>
      <c r="AT33" s="384"/>
      <c r="AU33" s="384"/>
      <c r="AV33" s="384"/>
      <c r="AW33" s="384"/>
      <c r="AX33" s="384"/>
      <c r="AY33" s="384"/>
      <c r="AZ33" s="384"/>
      <c r="BA33" s="388"/>
      <c r="BB33" s="384"/>
      <c r="BC33" s="384"/>
      <c r="BD33" s="384"/>
      <c r="BE33" s="384"/>
      <c r="BF33" s="384"/>
      <c r="BG33" s="388"/>
      <c r="BH33" s="379"/>
      <c r="BI33" s="379"/>
      <c r="BJ33" s="379"/>
      <c r="BK33" s="331"/>
      <c r="BL33" s="331"/>
      <c r="BM33" s="331"/>
      <c r="BN33" s="390"/>
      <c r="BO33" s="392"/>
      <c r="BP33" s="393"/>
      <c r="BQ33" s="402"/>
      <c r="BR33" s="402"/>
      <c r="BS33" s="402"/>
      <c r="BT33" s="402"/>
      <c r="BU33" s="402"/>
      <c r="BV33" s="402"/>
      <c r="BW33" s="416"/>
      <c r="BX33" s="388"/>
      <c r="BY33" s="335"/>
    </row>
    <row r="34">
      <c r="A34" s="417">
        <f>Aules!A30</f>
        <v>10</v>
      </c>
      <c r="B34" s="417" t="str">
        <f>Aules!B30</f>
        <v>Izan</v>
      </c>
      <c r="C34" s="417" t="str">
        <f>Aules!C30</f>
        <v>García Sabola</v>
      </c>
      <c r="D34" s="417" t="str">
        <f>GRUPS!E29</f>
        <v>PAU</v>
      </c>
      <c r="E34" s="417" t="str">
        <f>GRUPS!F29</f>
        <v>A2</v>
      </c>
      <c r="F34" s="426" t="s">
        <v>608</v>
      </c>
      <c r="G34" s="8"/>
      <c r="H34" s="8"/>
      <c r="I34" s="369"/>
      <c r="J34" s="379"/>
      <c r="K34" s="379"/>
      <c r="L34" s="379"/>
      <c r="M34" s="379"/>
      <c r="N34" s="379"/>
      <c r="O34" s="384"/>
      <c r="P34" s="384"/>
      <c r="Q34" s="384"/>
      <c r="R34" s="384"/>
      <c r="S34" s="384"/>
      <c r="T34" s="369"/>
      <c r="U34" s="379"/>
      <c r="V34" s="379"/>
      <c r="W34" s="384"/>
      <c r="X34" s="384"/>
      <c r="Y34" s="384"/>
      <c r="Z34" s="384"/>
      <c r="AA34" s="384"/>
      <c r="AB34" s="379"/>
      <c r="AC34" s="379"/>
      <c r="AD34" s="379"/>
      <c r="AE34" s="369"/>
      <c r="AF34" s="386"/>
      <c r="AG34" s="379"/>
      <c r="AH34" s="379"/>
      <c r="AI34" s="384"/>
      <c r="AJ34" s="384"/>
      <c r="AK34" s="384"/>
      <c r="AL34" s="384"/>
      <c r="AM34" s="384"/>
      <c r="AN34" s="386"/>
      <c r="AO34" s="386"/>
      <c r="AP34" s="369"/>
      <c r="AQ34" s="379"/>
      <c r="AR34" s="379"/>
      <c r="AS34" s="384"/>
      <c r="AT34" s="384"/>
      <c r="AU34" s="384"/>
      <c r="AV34" s="384"/>
      <c r="AW34" s="384"/>
      <c r="AX34" s="384"/>
      <c r="AY34" s="384"/>
      <c r="AZ34" s="384"/>
      <c r="BA34" s="388"/>
      <c r="BB34" s="384"/>
      <c r="BC34" s="384"/>
      <c r="BD34" s="384"/>
      <c r="BE34" s="384"/>
      <c r="BF34" s="384"/>
      <c r="BG34" s="388"/>
      <c r="BH34" s="379"/>
      <c r="BI34" s="379"/>
      <c r="BJ34" s="379"/>
      <c r="BK34" s="389"/>
      <c r="BL34" s="331"/>
      <c r="BM34" s="331"/>
      <c r="BN34" s="390"/>
      <c r="BO34" s="392"/>
      <c r="BP34" s="393"/>
      <c r="BQ34" s="391"/>
      <c r="BR34" s="391"/>
      <c r="BS34" s="391"/>
      <c r="BT34" s="391"/>
      <c r="BU34" s="391"/>
      <c r="BV34" s="391"/>
      <c r="BW34" s="395"/>
      <c r="BX34" s="388"/>
      <c r="BY34" s="335"/>
    </row>
    <row r="35">
      <c r="A35" s="14"/>
      <c r="B35" s="417" t="str">
        <f>Aules!B31</f>
        <v>Aya</v>
      </c>
      <c r="C35" s="417" t="str">
        <f>Aules!C31</f>
        <v>Ouniss El Aalali</v>
      </c>
      <c r="D35" s="14"/>
      <c r="E35" s="14"/>
      <c r="F35" s="437" t="s">
        <v>622</v>
      </c>
      <c r="I35" s="369"/>
      <c r="J35" s="379"/>
      <c r="K35" s="379"/>
      <c r="L35" s="379"/>
      <c r="M35" s="379"/>
      <c r="N35" s="379"/>
      <c r="O35" s="384"/>
      <c r="P35" s="384"/>
      <c r="Q35" s="384"/>
      <c r="R35" s="384"/>
      <c r="S35" s="384"/>
      <c r="T35" s="369"/>
      <c r="U35" s="379"/>
      <c r="V35" s="379"/>
      <c r="W35" s="384"/>
      <c r="X35" s="384"/>
      <c r="Y35" s="384"/>
      <c r="Z35" s="384"/>
      <c r="AA35" s="384"/>
      <c r="AB35" s="379"/>
      <c r="AC35" s="379"/>
      <c r="AD35" s="379"/>
      <c r="AE35" s="369"/>
      <c r="AF35" s="386"/>
      <c r="AG35" s="379"/>
      <c r="AH35" s="379"/>
      <c r="AI35" s="384"/>
      <c r="AJ35" s="384"/>
      <c r="AK35" s="384"/>
      <c r="AL35" s="384"/>
      <c r="AM35" s="384"/>
      <c r="AN35" s="386"/>
      <c r="AO35" s="386"/>
      <c r="AP35" s="369"/>
      <c r="AQ35" s="379"/>
      <c r="AR35" s="379"/>
      <c r="AS35" s="384"/>
      <c r="AT35" s="384"/>
      <c r="AU35" s="384"/>
      <c r="AV35" s="384"/>
      <c r="AW35" s="384"/>
      <c r="AX35" s="384"/>
      <c r="AY35" s="384"/>
      <c r="AZ35" s="384"/>
      <c r="BA35" s="388"/>
      <c r="BB35" s="384"/>
      <c r="BC35" s="384"/>
      <c r="BD35" s="384"/>
      <c r="BE35" s="384"/>
      <c r="BF35" s="384"/>
      <c r="BG35" s="388"/>
      <c r="BH35" s="379"/>
      <c r="BI35" s="379"/>
      <c r="BJ35" s="379"/>
      <c r="BK35" s="389"/>
      <c r="BL35" s="331"/>
      <c r="BM35" s="331"/>
      <c r="BN35" s="390"/>
      <c r="BO35" s="392"/>
      <c r="BP35" s="393"/>
      <c r="BQ35" s="402"/>
      <c r="BR35" s="402"/>
      <c r="BS35" s="402"/>
      <c r="BT35" s="402"/>
      <c r="BU35" s="402"/>
      <c r="BV35" s="402"/>
      <c r="BW35" s="398"/>
      <c r="BX35" s="388"/>
      <c r="BY35" s="335"/>
    </row>
    <row r="36">
      <c r="A36" s="14"/>
      <c r="B36" s="417" t="str">
        <f>Aules!B32</f>
        <v>Marina</v>
      </c>
      <c r="C36" s="417" t="str">
        <f>Aules!C32</f>
        <v>Montero Retamosa</v>
      </c>
      <c r="D36" s="14"/>
      <c r="E36" s="14"/>
      <c r="F36" s="437" t="s">
        <v>630</v>
      </c>
      <c r="I36" s="369"/>
      <c r="J36" s="410"/>
      <c r="K36" s="410"/>
      <c r="L36" s="410"/>
      <c r="M36" s="410"/>
      <c r="N36" s="410"/>
      <c r="O36" s="370"/>
      <c r="P36" s="370"/>
      <c r="Q36" s="370"/>
      <c r="R36" s="370"/>
      <c r="S36" s="370"/>
      <c r="T36" s="369"/>
      <c r="U36" s="410"/>
      <c r="V36" s="410"/>
      <c r="W36" s="370"/>
      <c r="X36" s="370"/>
      <c r="Y36" s="370"/>
      <c r="Z36" s="370"/>
      <c r="AA36" s="370"/>
      <c r="AB36" s="410"/>
      <c r="AC36" s="410"/>
      <c r="AD36" s="410"/>
      <c r="AE36" s="369"/>
      <c r="AF36" s="386"/>
      <c r="AG36" s="410"/>
      <c r="AH36" s="410"/>
      <c r="AI36" s="370"/>
      <c r="AJ36" s="370"/>
      <c r="AK36" s="370"/>
      <c r="AL36" s="370"/>
      <c r="AM36" s="370"/>
      <c r="AN36" s="386"/>
      <c r="AO36" s="386"/>
      <c r="AP36" s="369"/>
      <c r="AQ36" s="410"/>
      <c r="AR36" s="410"/>
      <c r="AS36" s="370"/>
      <c r="AT36" s="370"/>
      <c r="AU36" s="370"/>
      <c r="AV36" s="370"/>
      <c r="AW36" s="370"/>
      <c r="AX36" s="370"/>
      <c r="AY36" s="370"/>
      <c r="AZ36" s="370"/>
      <c r="BA36" s="388"/>
      <c r="BB36" s="370"/>
      <c r="BC36" s="370"/>
      <c r="BD36" s="370"/>
      <c r="BE36" s="370"/>
      <c r="BF36" s="370"/>
      <c r="BG36" s="388"/>
      <c r="BH36" s="410"/>
      <c r="BI36" s="410"/>
      <c r="BJ36" s="410"/>
      <c r="BL36" s="31"/>
      <c r="BM36" s="31"/>
      <c r="BN36" s="262"/>
      <c r="BO36" s="374"/>
      <c r="BP36" s="375"/>
      <c r="BQ36" s="113"/>
      <c r="BR36" s="113"/>
      <c r="BS36" s="113"/>
      <c r="BT36" s="113"/>
      <c r="BU36" s="113"/>
      <c r="BV36" s="113"/>
      <c r="BW36" s="411"/>
      <c r="BX36" s="388"/>
      <c r="BY36" s="377"/>
    </row>
    <row r="37">
      <c r="A37" s="396">
        <f>Aules!A33</f>
        <v>11</v>
      </c>
      <c r="B37" s="396" t="str">
        <f>Aules!B33</f>
        <v>Eloy</v>
      </c>
      <c r="C37" s="396" t="str">
        <f>Aules!C33</f>
        <v>Jurado Rodriguez</v>
      </c>
      <c r="D37" s="396" t="str">
        <f>GRUPS!E32</f>
        <v>OSCAR</v>
      </c>
      <c r="E37" s="396" t="str">
        <f>GRUPS!F32</f>
        <v>B1</v>
      </c>
      <c r="F37" s="400" t="s">
        <v>608</v>
      </c>
      <c r="G37" s="8"/>
      <c r="H37" s="8"/>
      <c r="I37" s="369"/>
      <c r="J37" s="410"/>
      <c r="K37" s="410"/>
      <c r="L37" s="410"/>
      <c r="M37" s="410"/>
      <c r="N37" s="410"/>
      <c r="O37" s="370"/>
      <c r="P37" s="370"/>
      <c r="Q37" s="370"/>
      <c r="R37" s="370"/>
      <c r="S37" s="370"/>
      <c r="T37" s="369"/>
      <c r="U37" s="410"/>
      <c r="V37" s="410"/>
      <c r="W37" s="370"/>
      <c r="X37" s="370"/>
      <c r="Y37" s="370"/>
      <c r="Z37" s="370"/>
      <c r="AA37" s="370"/>
      <c r="AB37" s="410"/>
      <c r="AC37" s="410"/>
      <c r="AD37" s="410"/>
      <c r="AE37" s="369"/>
      <c r="AF37" s="386"/>
      <c r="AG37" s="410"/>
      <c r="AH37" s="410"/>
      <c r="AI37" s="370"/>
      <c r="AJ37" s="370"/>
      <c r="AK37" s="370"/>
      <c r="AL37" s="370"/>
      <c r="AM37" s="370"/>
      <c r="AN37" s="386"/>
      <c r="AO37" s="386"/>
      <c r="AP37" s="369"/>
      <c r="AQ37" s="410"/>
      <c r="AR37" s="410"/>
      <c r="AS37" s="370"/>
      <c r="AT37" s="370"/>
      <c r="AU37" s="370"/>
      <c r="AV37" s="370"/>
      <c r="AW37" s="370"/>
      <c r="AX37" s="370"/>
      <c r="AY37" s="370"/>
      <c r="AZ37" s="370"/>
      <c r="BA37" s="388"/>
      <c r="BB37" s="370"/>
      <c r="BC37" s="370"/>
      <c r="BD37" s="370"/>
      <c r="BE37" s="370"/>
      <c r="BF37" s="370"/>
      <c r="BG37" s="388"/>
      <c r="BH37" s="410"/>
      <c r="BI37" s="410"/>
      <c r="BJ37" s="410"/>
      <c r="BK37" s="31"/>
      <c r="BL37" s="31"/>
      <c r="BM37" s="31"/>
      <c r="BN37" s="373"/>
      <c r="BO37" s="374"/>
      <c r="BP37" s="375"/>
      <c r="BQ37" s="207"/>
      <c r="BR37" s="207"/>
      <c r="BS37" s="207"/>
      <c r="BT37" s="207"/>
      <c r="BU37" s="207"/>
      <c r="BV37" s="207"/>
      <c r="BW37" s="407"/>
      <c r="BX37" s="388"/>
      <c r="BY37" s="377"/>
    </row>
    <row r="38">
      <c r="A38" s="14"/>
      <c r="B38" s="396" t="str">
        <f>Aules!B34</f>
        <v>Marc</v>
      </c>
      <c r="C38" s="396" t="str">
        <f>Aules!C34</f>
        <v>Sanchez Tena</v>
      </c>
      <c r="D38" s="14"/>
      <c r="E38" s="14"/>
      <c r="F38" s="409" t="s">
        <v>622</v>
      </c>
      <c r="I38" s="460"/>
      <c r="J38" s="454"/>
      <c r="K38" s="454"/>
      <c r="L38" s="454"/>
      <c r="M38" s="454"/>
      <c r="N38" s="454"/>
      <c r="O38" s="461"/>
      <c r="P38" s="461"/>
      <c r="Q38" s="461"/>
      <c r="R38" s="461"/>
      <c r="S38" s="461"/>
      <c r="T38" s="460"/>
      <c r="U38" s="454"/>
      <c r="V38" s="454"/>
      <c r="W38" s="461"/>
      <c r="X38" s="461"/>
      <c r="Y38" s="461"/>
      <c r="Z38" s="461"/>
      <c r="AA38" s="461"/>
      <c r="AB38" s="454"/>
      <c r="AC38" s="454"/>
      <c r="AD38" s="454"/>
      <c r="AE38" s="460"/>
      <c r="AF38" s="462"/>
      <c r="AG38" s="454"/>
      <c r="AH38" s="454"/>
      <c r="AI38" s="461"/>
      <c r="AJ38" s="461"/>
      <c r="AK38" s="461"/>
      <c r="AL38" s="461"/>
      <c r="AM38" s="461"/>
      <c r="AN38" s="462"/>
      <c r="AO38" s="462"/>
      <c r="AP38" s="460"/>
      <c r="AQ38" s="454"/>
      <c r="AR38" s="454"/>
      <c r="AS38" s="461"/>
      <c r="AT38" s="461"/>
      <c r="AU38" s="461"/>
      <c r="AV38" s="461"/>
      <c r="AW38" s="461"/>
      <c r="AX38" s="461"/>
      <c r="AY38" s="461"/>
      <c r="AZ38" s="461"/>
      <c r="BA38" s="463"/>
      <c r="BB38" s="461"/>
      <c r="BC38" s="461"/>
      <c r="BD38" s="461"/>
      <c r="BE38" s="461"/>
      <c r="BF38" s="461"/>
      <c r="BG38" s="463"/>
      <c r="BH38" s="454"/>
      <c r="BI38" s="454"/>
      <c r="BJ38" s="454"/>
      <c r="BK38" s="66"/>
      <c r="BL38" s="66"/>
      <c r="BM38" s="66"/>
      <c r="BN38" s="464"/>
      <c r="BO38" s="465"/>
      <c r="BP38" s="466"/>
      <c r="BQ38" s="226"/>
      <c r="BR38" s="226"/>
      <c r="BS38" s="226"/>
      <c r="BT38" s="226"/>
      <c r="BU38" s="226"/>
      <c r="BV38" s="226"/>
      <c r="BW38" s="467"/>
      <c r="BX38" s="463"/>
      <c r="BY38" s="468"/>
    </row>
    <row r="39">
      <c r="A39" s="14"/>
      <c r="B39" s="396" t="str">
        <f>Aules!B35</f>
        <v>Eric</v>
      </c>
      <c r="C39" s="396" t="str">
        <f>Aules!C35</f>
        <v>Muñoz Peris</v>
      </c>
      <c r="D39" s="14"/>
      <c r="E39" s="14"/>
      <c r="F39" s="409" t="s">
        <v>630</v>
      </c>
      <c r="I39" s="369"/>
      <c r="J39" s="473"/>
      <c r="K39" s="473"/>
      <c r="L39" s="473"/>
      <c r="M39" s="473"/>
      <c r="N39" s="473"/>
      <c r="O39" s="384"/>
      <c r="P39" s="384"/>
      <c r="Q39" s="384"/>
      <c r="R39" s="384"/>
      <c r="S39" s="384"/>
      <c r="T39" s="369"/>
      <c r="U39" s="473"/>
      <c r="V39" s="473"/>
      <c r="W39" s="384"/>
      <c r="X39" s="384"/>
      <c r="Y39" s="384"/>
      <c r="Z39" s="384"/>
      <c r="AA39" s="384"/>
      <c r="AB39" s="473"/>
      <c r="AC39" s="473"/>
      <c r="AD39" s="473"/>
      <c r="AE39" s="369"/>
      <c r="AF39" s="474"/>
      <c r="AG39" s="473"/>
      <c r="AH39" s="473"/>
      <c r="AI39" s="384"/>
      <c r="AJ39" s="384"/>
      <c r="AK39" s="384"/>
      <c r="AL39" s="384"/>
      <c r="AM39" s="384"/>
      <c r="AN39" s="474"/>
      <c r="AO39" s="474"/>
      <c r="AP39" s="369"/>
      <c r="AQ39" s="473"/>
      <c r="AR39" s="473"/>
      <c r="AS39" s="384"/>
      <c r="AT39" s="384"/>
      <c r="AU39" s="384"/>
      <c r="AV39" s="384"/>
      <c r="AW39" s="384"/>
      <c r="AX39" s="384"/>
      <c r="AY39" s="384"/>
      <c r="AZ39" s="384"/>
      <c r="BA39" s="475"/>
      <c r="BB39" s="384"/>
      <c r="BC39" s="476"/>
      <c r="BD39" s="384"/>
      <c r="BE39" s="384"/>
      <c r="BF39" s="384"/>
      <c r="BG39" s="475"/>
      <c r="BH39" s="470"/>
      <c r="BI39" s="470"/>
      <c r="BJ39" s="470"/>
      <c r="BK39" s="331"/>
      <c r="BL39" s="331"/>
      <c r="BM39" s="331"/>
      <c r="BN39" s="390"/>
      <c r="BO39" s="392"/>
      <c r="BP39" s="393"/>
      <c r="BQ39" s="402"/>
      <c r="BR39" s="402"/>
      <c r="BS39" s="402"/>
      <c r="BT39" s="402"/>
      <c r="BU39" s="402"/>
      <c r="BV39" s="402"/>
      <c r="BW39" s="416"/>
      <c r="BX39" s="475"/>
      <c r="BY39" s="335"/>
    </row>
    <row r="40">
      <c r="A40" s="417">
        <f>Aules!A36</f>
        <v>12</v>
      </c>
      <c r="B40" s="417" t="str">
        <f>Aules!B36</f>
        <v>Izan</v>
      </c>
      <c r="C40" s="417" t="str">
        <f>Aules!C36</f>
        <v>Díaz Villarroel</v>
      </c>
      <c r="D40" s="417" t="str">
        <f>GRUPS!E35</f>
        <v>JOAN</v>
      </c>
      <c r="E40" s="417" t="str">
        <f>GRUPS!F35</f>
        <v>A1</v>
      </c>
      <c r="F40" s="426" t="s">
        <v>608</v>
      </c>
      <c r="G40" s="8"/>
      <c r="H40" s="8"/>
      <c r="I40" s="369"/>
      <c r="J40" s="473"/>
      <c r="K40" s="473"/>
      <c r="L40" s="473"/>
      <c r="M40" s="473"/>
      <c r="N40" s="473"/>
      <c r="O40" s="384"/>
      <c r="P40" s="384"/>
      <c r="Q40" s="384"/>
      <c r="R40" s="384"/>
      <c r="S40" s="384"/>
      <c r="T40" s="369"/>
      <c r="U40" s="473"/>
      <c r="V40" s="473"/>
      <c r="W40" s="384"/>
      <c r="X40" s="384"/>
      <c r="Y40" s="384"/>
      <c r="Z40" s="384"/>
      <c r="AA40" s="384"/>
      <c r="AB40" s="473"/>
      <c r="AC40" s="473"/>
      <c r="AD40" s="473"/>
      <c r="AE40" s="369"/>
      <c r="AF40" s="474"/>
      <c r="AG40" s="473"/>
      <c r="AH40" s="473"/>
      <c r="AI40" s="384"/>
      <c r="AJ40" s="384"/>
      <c r="AK40" s="384"/>
      <c r="AL40" s="384"/>
      <c r="AM40" s="384"/>
      <c r="AN40" s="474"/>
      <c r="AO40" s="474"/>
      <c r="AP40" s="369"/>
      <c r="AQ40" s="473"/>
      <c r="AR40" s="473"/>
      <c r="AS40" s="384"/>
      <c r="AT40" s="384"/>
      <c r="AU40" s="384"/>
      <c r="AV40" s="384"/>
      <c r="AW40" s="384"/>
      <c r="AX40" s="384"/>
      <c r="AY40" s="384"/>
      <c r="AZ40" s="384"/>
      <c r="BA40" s="475"/>
      <c r="BB40" s="384"/>
      <c r="BC40" s="476"/>
      <c r="BD40" s="384"/>
      <c r="BE40" s="384"/>
      <c r="BF40" s="384"/>
      <c r="BG40" s="475"/>
      <c r="BH40" s="470"/>
      <c r="BI40" s="470"/>
      <c r="BJ40" s="470"/>
      <c r="BK40" s="389"/>
      <c r="BL40" s="331"/>
      <c r="BM40" s="331"/>
      <c r="BN40" s="390"/>
      <c r="BO40" s="398"/>
      <c r="BP40" s="398"/>
      <c r="BQ40" s="392"/>
      <c r="BR40" s="393"/>
      <c r="BS40" s="477"/>
      <c r="BT40" s="477"/>
      <c r="BU40" s="477"/>
      <c r="BV40" s="477"/>
      <c r="BW40" s="395"/>
      <c r="BX40" s="475"/>
      <c r="BY40" s="335"/>
    </row>
    <row r="41">
      <c r="A41" s="14"/>
      <c r="B41" s="417" t="str">
        <f>Aules!B37</f>
        <v>Eric</v>
      </c>
      <c r="C41" s="417" t="str">
        <f>Aules!C37</f>
        <v>Sáez Solà</v>
      </c>
      <c r="D41" s="14"/>
      <c r="E41" s="14"/>
      <c r="F41" s="437" t="s">
        <v>622</v>
      </c>
      <c r="I41" s="369"/>
      <c r="J41" s="473"/>
      <c r="K41" s="473"/>
      <c r="L41" s="473"/>
      <c r="M41" s="473"/>
      <c r="N41" s="473"/>
      <c r="O41" s="384"/>
      <c r="P41" s="384"/>
      <c r="Q41" s="384"/>
      <c r="R41" s="384"/>
      <c r="S41" s="384"/>
      <c r="T41" s="369"/>
      <c r="U41" s="473"/>
      <c r="V41" s="473"/>
      <c r="W41" s="384"/>
      <c r="X41" s="384"/>
      <c r="Y41" s="384"/>
      <c r="Z41" s="384"/>
      <c r="AA41" s="384"/>
      <c r="AB41" s="473"/>
      <c r="AC41" s="473"/>
      <c r="AD41" s="473"/>
      <c r="AE41" s="369"/>
      <c r="AF41" s="474"/>
      <c r="AG41" s="473"/>
      <c r="AH41" s="473"/>
      <c r="AI41" s="384"/>
      <c r="AJ41" s="384"/>
      <c r="AK41" s="384"/>
      <c r="AL41" s="384"/>
      <c r="AM41" s="384"/>
      <c r="AN41" s="474"/>
      <c r="AO41" s="474"/>
      <c r="AP41" s="369"/>
      <c r="AQ41" s="473"/>
      <c r="AR41" s="473"/>
      <c r="AS41" s="384"/>
      <c r="AT41" s="384"/>
      <c r="AU41" s="384"/>
      <c r="AV41" s="384"/>
      <c r="AW41" s="384"/>
      <c r="AX41" s="384"/>
      <c r="AY41" s="384"/>
      <c r="AZ41" s="384"/>
      <c r="BA41" s="475"/>
      <c r="BB41" s="384"/>
      <c r="BC41" s="476"/>
      <c r="BD41" s="384"/>
      <c r="BE41" s="384"/>
      <c r="BF41" s="384"/>
      <c r="BG41" s="475"/>
      <c r="BH41" s="470"/>
      <c r="BI41" s="470"/>
      <c r="BJ41" s="470"/>
      <c r="BK41" s="389"/>
      <c r="BL41" s="331"/>
      <c r="BM41" s="331"/>
      <c r="BN41" s="390"/>
      <c r="BO41" s="398"/>
      <c r="BP41" s="398"/>
      <c r="BQ41" s="392"/>
      <c r="BR41" s="393"/>
      <c r="BS41" s="477"/>
      <c r="BT41" s="477"/>
      <c r="BU41" s="477"/>
      <c r="BV41" s="477"/>
      <c r="BW41" s="398"/>
      <c r="BX41" s="475"/>
      <c r="BY41" s="335"/>
    </row>
    <row r="42">
      <c r="A42" s="14"/>
      <c r="B42" s="417" t="str">
        <f>Aules!B38</f>
        <v>Joel</v>
      </c>
      <c r="C42" s="417" t="str">
        <f>Aules!C38</f>
        <v>Trullas Aranda</v>
      </c>
      <c r="D42" s="14"/>
      <c r="E42" s="14"/>
      <c r="F42" s="437" t="s">
        <v>630</v>
      </c>
      <c r="I42" s="369"/>
      <c r="J42" s="482"/>
      <c r="K42" s="482"/>
      <c r="L42" s="482"/>
      <c r="M42" s="482"/>
      <c r="N42" s="482"/>
      <c r="O42" s="370"/>
      <c r="P42" s="370"/>
      <c r="Q42" s="370"/>
      <c r="R42" s="370"/>
      <c r="S42" s="370"/>
      <c r="T42" s="369"/>
      <c r="U42" s="482"/>
      <c r="V42" s="482"/>
      <c r="W42" s="370"/>
      <c r="X42" s="370"/>
      <c r="Y42" s="370"/>
      <c r="Z42" s="370"/>
      <c r="AA42" s="370"/>
      <c r="AB42" s="482"/>
      <c r="AC42" s="482"/>
      <c r="AD42" s="482"/>
      <c r="AE42" s="369"/>
      <c r="AF42" s="474"/>
      <c r="AG42" s="482"/>
      <c r="AH42" s="410"/>
      <c r="AI42" s="370"/>
      <c r="AJ42" s="370"/>
      <c r="AK42" s="370"/>
      <c r="AL42" s="370"/>
      <c r="AM42" s="370"/>
      <c r="AN42" s="474"/>
      <c r="AO42" s="474"/>
      <c r="AP42" s="369"/>
      <c r="AQ42" s="482"/>
      <c r="AR42" s="482"/>
      <c r="AS42" s="370"/>
      <c r="AT42" s="370"/>
      <c r="AU42" s="370"/>
      <c r="AV42" s="370"/>
      <c r="AW42" s="370"/>
      <c r="AX42" s="370"/>
      <c r="AY42" s="370"/>
      <c r="AZ42" s="370"/>
      <c r="BA42" s="475"/>
      <c r="BB42" s="370"/>
      <c r="BC42" s="483"/>
      <c r="BD42" s="370"/>
      <c r="BE42" s="370"/>
      <c r="BF42" s="370"/>
      <c r="BG42" s="475"/>
      <c r="BH42" s="479"/>
      <c r="BI42" s="479"/>
      <c r="BJ42" s="479"/>
      <c r="BL42" s="31"/>
      <c r="BM42" s="31"/>
      <c r="BN42" s="262"/>
      <c r="BO42" s="376"/>
      <c r="BP42" s="376"/>
      <c r="BQ42" s="374"/>
      <c r="BR42" s="375"/>
      <c r="BS42" s="484"/>
      <c r="BT42" s="484"/>
      <c r="BU42" s="484"/>
      <c r="BV42" s="484"/>
      <c r="BW42" s="411"/>
      <c r="BX42" s="475"/>
      <c r="BY42" s="377"/>
    </row>
    <row r="43">
      <c r="A43" s="396">
        <f>Aules!A39</f>
        <v>13</v>
      </c>
      <c r="B43" s="396" t="str">
        <f>Aules!B39</f>
        <v>Amanda </v>
      </c>
      <c r="C43" s="396" t="str">
        <f>Aules!C39</f>
        <v>Ortiz</v>
      </c>
      <c r="D43" s="396" t="str">
        <f>GRUPS!E38</f>
        <v>ROGER</v>
      </c>
      <c r="E43" s="396" t="str">
        <f>GRUPS!F38</f>
        <v>A1</v>
      </c>
      <c r="F43" s="400" t="s">
        <v>608</v>
      </c>
      <c r="G43" s="8"/>
      <c r="H43" s="8"/>
      <c r="I43" s="369"/>
      <c r="J43" s="482"/>
      <c r="K43" s="482"/>
      <c r="L43" s="482"/>
      <c r="M43" s="482"/>
      <c r="N43" s="482"/>
      <c r="O43" s="370"/>
      <c r="P43" s="370"/>
      <c r="Q43" s="370"/>
      <c r="R43" s="370"/>
      <c r="S43" s="370"/>
      <c r="T43" s="369"/>
      <c r="U43" s="482"/>
      <c r="V43" s="482"/>
      <c r="W43" s="370"/>
      <c r="X43" s="370"/>
      <c r="Y43" s="370"/>
      <c r="Z43" s="370"/>
      <c r="AA43" s="370"/>
      <c r="AB43" s="482"/>
      <c r="AC43" s="482"/>
      <c r="AD43" s="482"/>
      <c r="AE43" s="369"/>
      <c r="AF43" s="474"/>
      <c r="AG43" s="482"/>
      <c r="AH43" s="410"/>
      <c r="AI43" s="370"/>
      <c r="AJ43" s="370"/>
      <c r="AK43" s="370"/>
      <c r="AL43" s="370"/>
      <c r="AM43" s="370"/>
      <c r="AN43" s="474"/>
      <c r="AO43" s="474"/>
      <c r="AP43" s="369"/>
      <c r="AQ43" s="482"/>
      <c r="AR43" s="482"/>
      <c r="AS43" s="370"/>
      <c r="AT43" s="370"/>
      <c r="AU43" s="370"/>
      <c r="AV43" s="370"/>
      <c r="AW43" s="370"/>
      <c r="AX43" s="370"/>
      <c r="AY43" s="370"/>
      <c r="AZ43" s="370"/>
      <c r="BA43" s="475"/>
      <c r="BB43" s="370"/>
      <c r="BC43" s="483"/>
      <c r="BD43" s="370"/>
      <c r="BE43" s="370"/>
      <c r="BF43" s="370"/>
      <c r="BG43" s="475"/>
      <c r="BH43" s="479"/>
      <c r="BI43" s="479"/>
      <c r="BJ43" s="479"/>
      <c r="BK43" s="31"/>
      <c r="BL43" s="31"/>
      <c r="BM43" s="31"/>
      <c r="BN43" s="373"/>
      <c r="BO43" s="374"/>
      <c r="BP43" s="375"/>
      <c r="BQ43" s="207"/>
      <c r="BR43" s="207"/>
      <c r="BS43" s="207"/>
      <c r="BT43" s="207"/>
      <c r="BU43" s="207"/>
      <c r="BV43" s="207"/>
      <c r="BW43" s="407"/>
      <c r="BX43" s="475"/>
      <c r="BY43" s="377"/>
    </row>
    <row r="44">
      <c r="A44" s="14"/>
      <c r="B44" s="396" t="str">
        <f>Aules!B40</f>
        <v>Amanda </v>
      </c>
      <c r="C44" s="396" t="str">
        <f>Aules!C40</f>
        <v>Borruel</v>
      </c>
      <c r="D44" s="14"/>
      <c r="E44" s="14"/>
      <c r="F44" s="409" t="s">
        <v>622</v>
      </c>
      <c r="I44" s="369"/>
      <c r="J44" s="482"/>
      <c r="K44" s="482"/>
      <c r="L44" s="482"/>
      <c r="M44" s="482"/>
      <c r="N44" s="482"/>
      <c r="O44" s="370"/>
      <c r="P44" s="370"/>
      <c r="Q44" s="370"/>
      <c r="R44" s="370"/>
      <c r="S44" s="370"/>
      <c r="T44" s="369"/>
      <c r="U44" s="482"/>
      <c r="V44" s="482"/>
      <c r="W44" s="370"/>
      <c r="X44" s="370"/>
      <c r="Y44" s="370"/>
      <c r="Z44" s="370"/>
      <c r="AA44" s="370"/>
      <c r="AB44" s="482"/>
      <c r="AC44" s="482"/>
      <c r="AD44" s="482"/>
      <c r="AE44" s="369"/>
      <c r="AF44" s="474"/>
      <c r="AG44" s="482"/>
      <c r="AH44" s="410"/>
      <c r="AI44" s="370"/>
      <c r="AJ44" s="370"/>
      <c r="AK44" s="370"/>
      <c r="AL44" s="370"/>
      <c r="AM44" s="370"/>
      <c r="AN44" s="474"/>
      <c r="AO44" s="474"/>
      <c r="AP44" s="369"/>
      <c r="AQ44" s="482"/>
      <c r="AR44" s="482"/>
      <c r="AS44" s="370"/>
      <c r="AT44" s="370"/>
      <c r="AU44" s="370"/>
      <c r="AV44" s="370"/>
      <c r="AW44" s="370"/>
      <c r="AX44" s="370"/>
      <c r="AY44" s="370"/>
      <c r="AZ44" s="370"/>
      <c r="BA44" s="475"/>
      <c r="BB44" s="370"/>
      <c r="BC44" s="483"/>
      <c r="BD44" s="370"/>
      <c r="BE44" s="370"/>
      <c r="BF44" s="370"/>
      <c r="BG44" s="475"/>
      <c r="BH44" s="479"/>
      <c r="BI44" s="479"/>
      <c r="BJ44" s="479"/>
      <c r="BK44" s="31"/>
      <c r="BL44" s="31"/>
      <c r="BM44" s="31"/>
      <c r="BN44" s="373"/>
      <c r="BO44" s="374"/>
      <c r="BP44" s="375"/>
      <c r="BQ44" s="113"/>
      <c r="BR44" s="113"/>
      <c r="BS44" s="113"/>
      <c r="BT44" s="113"/>
      <c r="BU44" s="113"/>
      <c r="BV44" s="113"/>
      <c r="BW44" s="376"/>
      <c r="BX44" s="475"/>
      <c r="BY44" s="377"/>
    </row>
    <row r="45">
      <c r="A45" s="14"/>
      <c r="B45" s="396" t="str">
        <f>Aules!B41</f>
        <v>Miquel</v>
      </c>
      <c r="C45" s="396" t="str">
        <f>Aules!C41</f>
        <v>Turegano</v>
      </c>
      <c r="D45" s="14"/>
      <c r="E45" s="14"/>
      <c r="F45" s="409" t="s">
        <v>630</v>
      </c>
      <c r="I45" s="369"/>
      <c r="J45" s="473"/>
      <c r="K45" s="473"/>
      <c r="L45" s="473"/>
      <c r="M45" s="473"/>
      <c r="N45" s="473"/>
      <c r="O45" s="384"/>
      <c r="P45" s="384"/>
      <c r="Q45" s="384"/>
      <c r="R45" s="384"/>
      <c r="S45" s="384"/>
      <c r="T45" s="369"/>
      <c r="U45" s="473"/>
      <c r="V45" s="473"/>
      <c r="W45" s="384"/>
      <c r="X45" s="384"/>
      <c r="Y45" s="384"/>
      <c r="Z45" s="384"/>
      <c r="AA45" s="384"/>
      <c r="AB45" s="473"/>
      <c r="AC45" s="473"/>
      <c r="AD45" s="473"/>
      <c r="AE45" s="369"/>
      <c r="AF45" s="474"/>
      <c r="AG45" s="473"/>
      <c r="AH45" s="473"/>
      <c r="AI45" s="384"/>
      <c r="AJ45" s="384"/>
      <c r="AK45" s="384"/>
      <c r="AL45" s="384"/>
      <c r="AM45" s="384"/>
      <c r="AN45" s="474"/>
      <c r="AO45" s="474"/>
      <c r="AP45" s="369"/>
      <c r="AQ45" s="473"/>
      <c r="AR45" s="473"/>
      <c r="AS45" s="384"/>
      <c r="AT45" s="384"/>
      <c r="AU45" s="384"/>
      <c r="AV45" s="384"/>
      <c r="AW45" s="384"/>
      <c r="AX45" s="384"/>
      <c r="AY45" s="384"/>
      <c r="AZ45" s="384"/>
      <c r="BA45" s="475"/>
      <c r="BB45" s="384"/>
      <c r="BC45" s="476"/>
      <c r="BD45" s="384"/>
      <c r="BE45" s="384"/>
      <c r="BF45" s="384"/>
      <c r="BG45" s="475"/>
      <c r="BH45" s="470"/>
      <c r="BI45" s="470"/>
      <c r="BJ45" s="470"/>
      <c r="BK45" s="331"/>
      <c r="BL45" s="331"/>
      <c r="BM45" s="331"/>
      <c r="BN45" s="390"/>
      <c r="BO45" s="392"/>
      <c r="BP45" s="393"/>
      <c r="BQ45" s="402"/>
      <c r="BR45" s="402"/>
      <c r="BS45" s="402"/>
      <c r="BT45" s="402"/>
      <c r="BU45" s="402"/>
      <c r="BV45" s="402"/>
      <c r="BW45" s="416"/>
      <c r="BX45" s="475"/>
      <c r="BY45" s="335"/>
    </row>
    <row r="46">
      <c r="A46" s="417">
        <f>Aules!A42</f>
        <v>14</v>
      </c>
      <c r="B46" s="417" t="str">
        <f>Aules!B42</f>
        <v>Daniel</v>
      </c>
      <c r="C46" s="417" t="str">
        <f>Aules!C42</f>
        <v>Martinez</v>
      </c>
      <c r="D46" s="417" t="str">
        <f>GRUPS!E41</f>
        <v>JOAN</v>
      </c>
      <c r="E46" s="417" t="str">
        <f>GRUPS!F41</f>
        <v>A1</v>
      </c>
      <c r="F46" s="426" t="s">
        <v>608</v>
      </c>
      <c r="G46" s="8"/>
      <c r="H46" s="8"/>
      <c r="I46" s="369"/>
      <c r="J46" s="473"/>
      <c r="K46" s="473"/>
      <c r="L46" s="473"/>
      <c r="M46" s="473"/>
      <c r="N46" s="473"/>
      <c r="O46" s="384"/>
      <c r="P46" s="384"/>
      <c r="Q46" s="384"/>
      <c r="R46" s="384"/>
      <c r="S46" s="384"/>
      <c r="T46" s="369"/>
      <c r="U46" s="473"/>
      <c r="V46" s="473"/>
      <c r="W46" s="384"/>
      <c r="X46" s="384"/>
      <c r="Y46" s="384"/>
      <c r="Z46" s="384"/>
      <c r="AA46" s="384"/>
      <c r="AB46" s="473"/>
      <c r="AC46" s="473"/>
      <c r="AD46" s="473"/>
      <c r="AE46" s="369"/>
      <c r="AF46" s="474"/>
      <c r="AG46" s="473"/>
      <c r="AH46" s="473"/>
      <c r="AI46" s="384"/>
      <c r="AJ46" s="384"/>
      <c r="AK46" s="384"/>
      <c r="AL46" s="384"/>
      <c r="AM46" s="384"/>
      <c r="AN46" s="474"/>
      <c r="AO46" s="474"/>
      <c r="AP46" s="369"/>
      <c r="AQ46" s="473"/>
      <c r="AR46" s="473"/>
      <c r="AS46" s="384"/>
      <c r="AT46" s="384"/>
      <c r="AU46" s="384"/>
      <c r="AV46" s="384"/>
      <c r="AW46" s="384"/>
      <c r="AX46" s="384"/>
      <c r="AY46" s="384"/>
      <c r="AZ46" s="384"/>
      <c r="BA46" s="475"/>
      <c r="BB46" s="384"/>
      <c r="BC46" s="476"/>
      <c r="BD46" s="384"/>
      <c r="BE46" s="384"/>
      <c r="BF46" s="384"/>
      <c r="BG46" s="475"/>
      <c r="BH46" s="470"/>
      <c r="BI46" s="470"/>
      <c r="BJ46" s="470"/>
      <c r="BK46" s="389"/>
      <c r="BL46" s="331"/>
      <c r="BM46" s="331"/>
      <c r="BN46" s="390"/>
      <c r="BO46" s="398"/>
      <c r="BP46" s="398"/>
      <c r="BQ46" s="392"/>
      <c r="BR46" s="393"/>
      <c r="BS46" s="390"/>
      <c r="BT46" s="390"/>
      <c r="BU46" s="390"/>
      <c r="BV46" s="390"/>
      <c r="BW46" s="395"/>
      <c r="BX46" s="475"/>
      <c r="BY46" s="335"/>
    </row>
    <row r="47">
      <c r="A47" s="14"/>
      <c r="B47" s="417" t="str">
        <f>Aules!B43</f>
        <v>Max</v>
      </c>
      <c r="C47" s="417" t="str">
        <f>Aules!C43</f>
        <v>Martinez</v>
      </c>
      <c r="D47" s="14"/>
      <c r="E47" s="14"/>
      <c r="F47" s="437" t="s">
        <v>622</v>
      </c>
      <c r="I47" s="369"/>
      <c r="J47" s="473"/>
      <c r="K47" s="473"/>
      <c r="L47" s="473"/>
      <c r="M47" s="473"/>
      <c r="N47" s="473"/>
      <c r="O47" s="384"/>
      <c r="P47" s="384"/>
      <c r="Q47" s="384"/>
      <c r="R47" s="384"/>
      <c r="S47" s="384"/>
      <c r="T47" s="369"/>
      <c r="U47" s="473"/>
      <c r="V47" s="473"/>
      <c r="W47" s="384"/>
      <c r="X47" s="384"/>
      <c r="Y47" s="384"/>
      <c r="Z47" s="384"/>
      <c r="AA47" s="384"/>
      <c r="AB47" s="473"/>
      <c r="AC47" s="473"/>
      <c r="AD47" s="473"/>
      <c r="AE47" s="369"/>
      <c r="AF47" s="474"/>
      <c r="AG47" s="473"/>
      <c r="AH47" s="473"/>
      <c r="AI47" s="384"/>
      <c r="AJ47" s="384"/>
      <c r="AK47" s="384"/>
      <c r="AL47" s="384"/>
      <c r="AM47" s="384"/>
      <c r="AN47" s="474"/>
      <c r="AO47" s="474"/>
      <c r="AP47" s="369"/>
      <c r="AQ47" s="473"/>
      <c r="AR47" s="473"/>
      <c r="AS47" s="384"/>
      <c r="AT47" s="384"/>
      <c r="AU47" s="384"/>
      <c r="AV47" s="384"/>
      <c r="AW47" s="384"/>
      <c r="AX47" s="384"/>
      <c r="AY47" s="384"/>
      <c r="AZ47" s="384"/>
      <c r="BA47" s="475"/>
      <c r="BB47" s="384"/>
      <c r="BC47" s="476"/>
      <c r="BD47" s="384"/>
      <c r="BE47" s="384"/>
      <c r="BF47" s="384"/>
      <c r="BG47" s="475"/>
      <c r="BH47" s="470"/>
      <c r="BI47" s="470"/>
      <c r="BJ47" s="470"/>
      <c r="BK47" s="389"/>
      <c r="BL47" s="331"/>
      <c r="BM47" s="331"/>
      <c r="BN47" s="390"/>
      <c r="BO47" s="398"/>
      <c r="BP47" s="398"/>
      <c r="BQ47" s="392"/>
      <c r="BR47" s="393"/>
      <c r="BS47" s="390"/>
      <c r="BT47" s="390"/>
      <c r="BU47" s="390"/>
      <c r="BV47" s="390"/>
      <c r="BW47" s="398"/>
      <c r="BX47" s="475"/>
      <c r="BY47" s="335"/>
    </row>
    <row r="48">
      <c r="A48" s="14"/>
      <c r="B48" s="417" t="str">
        <f>Aules!B44</f>
        <v>Guillem</v>
      </c>
      <c r="C48" s="417" t="str">
        <f>Aules!C44</f>
        <v>Garcia</v>
      </c>
      <c r="D48" s="14"/>
      <c r="E48" s="14"/>
      <c r="F48" s="437" t="s">
        <v>630</v>
      </c>
      <c r="I48" s="369"/>
      <c r="J48" s="365"/>
      <c r="K48" s="365"/>
      <c r="L48" s="365"/>
      <c r="M48" s="365"/>
      <c r="N48" s="365"/>
      <c r="O48" s="370"/>
      <c r="P48" s="370"/>
      <c r="Q48" s="370"/>
      <c r="R48" s="370"/>
      <c r="S48" s="370"/>
      <c r="T48" s="369"/>
      <c r="U48" s="365"/>
      <c r="V48" s="365"/>
      <c r="W48" s="370"/>
      <c r="X48" s="370"/>
      <c r="Y48" s="370"/>
      <c r="Z48" s="370"/>
      <c r="AA48" s="370"/>
      <c r="AB48" s="365"/>
      <c r="AC48" s="365"/>
      <c r="AD48" s="365"/>
      <c r="AE48" s="369"/>
      <c r="AF48" s="371"/>
      <c r="AG48" s="365"/>
      <c r="AH48" s="410"/>
      <c r="AI48" s="370"/>
      <c r="AJ48" s="370"/>
      <c r="AK48" s="370"/>
      <c r="AL48" s="370"/>
      <c r="AM48" s="370"/>
      <c r="AN48" s="371"/>
      <c r="AO48" s="371"/>
      <c r="AP48" s="369"/>
      <c r="AQ48" s="365"/>
      <c r="AR48" s="365"/>
      <c r="AS48" s="370"/>
      <c r="AT48" s="370"/>
      <c r="AU48" s="370"/>
      <c r="AV48" s="370"/>
      <c r="AW48" s="370"/>
      <c r="AX48" s="370"/>
      <c r="AY48" s="370"/>
      <c r="AZ48" s="370"/>
      <c r="BA48" s="372"/>
      <c r="BB48" s="370"/>
      <c r="BC48" s="370"/>
      <c r="BD48" s="370"/>
      <c r="BE48" s="370"/>
      <c r="BF48" s="370"/>
      <c r="BG48" s="372"/>
      <c r="BH48" s="365"/>
      <c r="BI48" s="365"/>
      <c r="BJ48" s="365"/>
      <c r="BL48" s="31"/>
      <c r="BM48" s="31"/>
      <c r="BN48" s="262"/>
      <c r="BO48" s="376"/>
      <c r="BP48" s="376"/>
      <c r="BQ48" s="374"/>
      <c r="BR48" s="375"/>
      <c r="BS48" s="262"/>
      <c r="BT48" s="262"/>
      <c r="BU48" s="262"/>
      <c r="BV48" s="262"/>
      <c r="BW48" s="411"/>
      <c r="BX48" s="372"/>
      <c r="BY48" s="377"/>
    </row>
    <row r="49">
      <c r="A49" s="396">
        <f>Aules!A45</f>
        <v>15</v>
      </c>
      <c r="B49" s="396" t="str">
        <f>Aules!B45</f>
        <v>Pau</v>
      </c>
      <c r="C49" s="396" t="str">
        <f>Aules!C45</f>
        <v>Torres</v>
      </c>
      <c r="D49" s="396" t="str">
        <f>GRUPS!E44</f>
        <v>VANESA</v>
      </c>
      <c r="E49" s="396" t="str">
        <f>GRUPS!F44</f>
        <v>A1</v>
      </c>
      <c r="F49" s="400" t="s">
        <v>608</v>
      </c>
      <c r="G49" s="8"/>
      <c r="H49" s="8"/>
      <c r="I49" s="369"/>
      <c r="J49" s="365"/>
      <c r="K49" s="365"/>
      <c r="L49" s="365"/>
      <c r="M49" s="365"/>
      <c r="N49" s="365"/>
      <c r="O49" s="370"/>
      <c r="P49" s="370"/>
      <c r="Q49" s="370"/>
      <c r="R49" s="370"/>
      <c r="S49" s="370"/>
      <c r="T49" s="369"/>
      <c r="U49" s="365"/>
      <c r="V49" s="365"/>
      <c r="W49" s="370"/>
      <c r="X49" s="370"/>
      <c r="Y49" s="370"/>
      <c r="Z49" s="370"/>
      <c r="AA49" s="370"/>
      <c r="AB49" s="365"/>
      <c r="AC49" s="365"/>
      <c r="AD49" s="365"/>
      <c r="AE49" s="369"/>
      <c r="AF49" s="371"/>
      <c r="AG49" s="365"/>
      <c r="AH49" s="410"/>
      <c r="AI49" s="370"/>
      <c r="AJ49" s="370"/>
      <c r="AK49" s="370"/>
      <c r="AL49" s="370"/>
      <c r="AM49" s="370"/>
      <c r="AN49" s="371"/>
      <c r="AO49" s="371"/>
      <c r="AP49" s="369"/>
      <c r="AQ49" s="365"/>
      <c r="AR49" s="365"/>
      <c r="AS49" s="370"/>
      <c r="AT49" s="370"/>
      <c r="AU49" s="370"/>
      <c r="AV49" s="370"/>
      <c r="AW49" s="370"/>
      <c r="AX49" s="370"/>
      <c r="AY49" s="370"/>
      <c r="AZ49" s="370"/>
      <c r="BA49" s="372"/>
      <c r="BB49" s="370"/>
      <c r="BC49" s="370"/>
      <c r="BD49" s="370"/>
      <c r="BE49" s="370"/>
      <c r="BF49" s="370"/>
      <c r="BG49" s="372"/>
      <c r="BH49" s="365"/>
      <c r="BI49" s="365"/>
      <c r="BJ49" s="365"/>
      <c r="BK49" s="31"/>
      <c r="BL49" s="31"/>
      <c r="BM49" s="31"/>
      <c r="BN49" s="373"/>
      <c r="BO49" s="376"/>
      <c r="BP49" s="376"/>
      <c r="BQ49" s="374"/>
      <c r="BR49" s="375"/>
      <c r="BS49" s="373"/>
      <c r="BT49" s="373"/>
      <c r="BU49" s="373"/>
      <c r="BV49" s="373"/>
      <c r="BW49" s="407"/>
      <c r="BX49" s="372"/>
      <c r="BY49" s="377"/>
    </row>
    <row r="50">
      <c r="A50" s="14"/>
      <c r="B50" s="396" t="str">
        <f>Aules!B46</f>
        <v>Aniol</v>
      </c>
      <c r="C50" s="396" t="str">
        <f>Aules!C46</f>
        <v>Salgado</v>
      </c>
      <c r="D50" s="14"/>
      <c r="E50" s="14"/>
      <c r="F50" s="409" t="s">
        <v>622</v>
      </c>
      <c r="I50" s="369"/>
      <c r="J50" s="365"/>
      <c r="K50" s="365"/>
      <c r="L50" s="365"/>
      <c r="M50" s="365"/>
      <c r="N50" s="365"/>
      <c r="O50" s="370"/>
      <c r="P50" s="370"/>
      <c r="Q50" s="370"/>
      <c r="R50" s="370"/>
      <c r="S50" s="370"/>
      <c r="T50" s="369"/>
      <c r="U50" s="365"/>
      <c r="V50" s="365"/>
      <c r="W50" s="370"/>
      <c r="X50" s="370"/>
      <c r="Y50" s="370"/>
      <c r="Z50" s="370"/>
      <c r="AA50" s="370"/>
      <c r="AB50" s="365"/>
      <c r="AC50" s="365"/>
      <c r="AD50" s="365"/>
      <c r="AE50" s="369"/>
      <c r="AF50" s="371"/>
      <c r="AG50" s="365"/>
      <c r="AH50" s="410"/>
      <c r="AI50" s="370"/>
      <c r="AJ50" s="370"/>
      <c r="AK50" s="370"/>
      <c r="AL50" s="370"/>
      <c r="AM50" s="370"/>
      <c r="AN50" s="371"/>
      <c r="AO50" s="371"/>
      <c r="AP50" s="369"/>
      <c r="AQ50" s="365"/>
      <c r="AR50" s="365"/>
      <c r="AS50" s="370"/>
      <c r="AT50" s="370"/>
      <c r="AU50" s="370"/>
      <c r="AV50" s="370"/>
      <c r="AW50" s="370"/>
      <c r="AX50" s="370"/>
      <c r="AY50" s="370"/>
      <c r="AZ50" s="370"/>
      <c r="BA50" s="372"/>
      <c r="BB50" s="370"/>
      <c r="BC50" s="370"/>
      <c r="BD50" s="370"/>
      <c r="BE50" s="370"/>
      <c r="BF50" s="370"/>
      <c r="BG50" s="372"/>
      <c r="BH50" s="365"/>
      <c r="BI50" s="365"/>
      <c r="BJ50" s="365"/>
      <c r="BK50" s="31"/>
      <c r="BL50" s="31"/>
      <c r="BM50" s="31"/>
      <c r="BN50" s="373"/>
      <c r="BO50" s="376"/>
      <c r="BP50" s="376"/>
      <c r="BQ50" s="374"/>
      <c r="BR50" s="375"/>
      <c r="BS50" s="373"/>
      <c r="BT50" s="373"/>
      <c r="BU50" s="373"/>
      <c r="BV50" s="373"/>
      <c r="BW50" s="376"/>
      <c r="BX50" s="372"/>
      <c r="BY50" s="377"/>
    </row>
    <row r="51">
      <c r="A51" s="14"/>
      <c r="B51" s="396" t="str">
        <f>Aules!B47</f>
        <v>Unai</v>
      </c>
      <c r="C51" s="396" t="str">
        <f>Aules!C47</f>
        <v>Estrada</v>
      </c>
      <c r="D51" s="14"/>
      <c r="E51" s="14"/>
      <c r="F51" s="409" t="s">
        <v>630</v>
      </c>
      <c r="I51" s="369"/>
      <c r="J51" s="473"/>
      <c r="K51" s="473"/>
      <c r="L51" s="473"/>
      <c r="M51" s="473"/>
      <c r="N51" s="473"/>
      <c r="O51" s="384"/>
      <c r="P51" s="384"/>
      <c r="Q51" s="384"/>
      <c r="R51" s="384"/>
      <c r="S51" s="384"/>
      <c r="T51" s="369"/>
      <c r="U51" s="473"/>
      <c r="V51" s="473"/>
      <c r="W51" s="384"/>
      <c r="X51" s="384"/>
      <c r="Y51" s="384"/>
      <c r="Z51" s="384"/>
      <c r="AA51" s="384"/>
      <c r="AB51" s="473"/>
      <c r="AC51" s="473"/>
      <c r="AD51" s="473"/>
      <c r="AE51" s="369"/>
      <c r="AF51" s="474"/>
      <c r="AG51" s="473"/>
      <c r="AH51" s="473"/>
      <c r="AI51" s="384"/>
      <c r="AJ51" s="384"/>
      <c r="AK51" s="384"/>
      <c r="AL51" s="384"/>
      <c r="AM51" s="384"/>
      <c r="AN51" s="474"/>
      <c r="AO51" s="474"/>
      <c r="AP51" s="369"/>
      <c r="AQ51" s="473"/>
      <c r="AR51" s="473"/>
      <c r="AS51" s="384"/>
      <c r="AT51" s="384"/>
      <c r="AU51" s="384"/>
      <c r="AV51" s="384"/>
      <c r="AW51" s="384"/>
      <c r="AX51" s="384"/>
      <c r="AY51" s="384"/>
      <c r="AZ51" s="384"/>
      <c r="BA51" s="488"/>
      <c r="BB51" s="384"/>
      <c r="BC51" s="384"/>
      <c r="BD51" s="384"/>
      <c r="BE51" s="384"/>
      <c r="BF51" s="384"/>
      <c r="BG51" s="488"/>
      <c r="BH51" s="473"/>
      <c r="BI51" s="473"/>
      <c r="BJ51" s="473"/>
      <c r="BK51" s="331"/>
      <c r="BL51" s="331"/>
      <c r="BM51" s="331"/>
      <c r="BN51" s="390"/>
      <c r="BO51" s="398"/>
      <c r="BP51" s="398"/>
      <c r="BQ51" s="392"/>
      <c r="BR51" s="393"/>
      <c r="BS51" s="390"/>
      <c r="BT51" s="390"/>
      <c r="BU51" s="390"/>
      <c r="BV51" s="390"/>
      <c r="BW51" s="416"/>
      <c r="BX51" s="488"/>
      <c r="BY51" s="335"/>
    </row>
    <row r="52">
      <c r="A52" s="417">
        <f>Aules!A48</f>
        <v>16</v>
      </c>
      <c r="B52" s="417" t="str">
        <f>Aules!B48</f>
        <v>Guillem</v>
      </c>
      <c r="C52" s="417" t="str">
        <f>Aules!C48</f>
        <v>Ezquerra</v>
      </c>
      <c r="D52" s="417" t="str">
        <f>GRUPS!E47</f>
        <v>ASPAS</v>
      </c>
      <c r="E52" s="417" t="str">
        <f>GRUPS!F47</f>
        <v>A2</v>
      </c>
      <c r="F52" s="426" t="s">
        <v>608</v>
      </c>
      <c r="G52" s="8"/>
      <c r="H52" s="8"/>
      <c r="I52" s="489"/>
      <c r="J52" s="473"/>
      <c r="K52" s="473"/>
      <c r="L52" s="473"/>
      <c r="M52" s="473"/>
      <c r="N52" s="473"/>
      <c r="O52" s="384"/>
      <c r="P52" s="384"/>
      <c r="Q52" s="384"/>
      <c r="R52" s="384"/>
      <c r="S52" s="384"/>
      <c r="T52" s="489"/>
      <c r="U52" s="473"/>
      <c r="V52" s="473"/>
      <c r="W52" s="384"/>
      <c r="X52" s="384"/>
      <c r="Y52" s="384"/>
      <c r="Z52" s="384"/>
      <c r="AA52" s="384"/>
      <c r="AB52" s="473"/>
      <c r="AC52" s="473"/>
      <c r="AD52" s="473"/>
      <c r="AE52" s="489"/>
      <c r="AF52" s="474"/>
      <c r="AG52" s="473"/>
      <c r="AH52" s="473"/>
      <c r="AI52" s="384"/>
      <c r="AJ52" s="384"/>
      <c r="AK52" s="384"/>
      <c r="AL52" s="384"/>
      <c r="AM52" s="384"/>
      <c r="AN52" s="474"/>
      <c r="AO52" s="474"/>
      <c r="AP52" s="489"/>
      <c r="AQ52" s="473"/>
      <c r="AR52" s="473"/>
      <c r="AS52" s="384"/>
      <c r="AT52" s="384"/>
      <c r="AU52" s="384"/>
      <c r="AV52" s="384"/>
      <c r="AW52" s="384"/>
      <c r="AX52" s="384"/>
      <c r="AY52" s="384"/>
      <c r="AZ52" s="384"/>
      <c r="BA52" s="488"/>
      <c r="BB52" s="384"/>
      <c r="BC52" s="384"/>
      <c r="BD52" s="384"/>
      <c r="BE52" s="384"/>
      <c r="BF52" s="384"/>
      <c r="BG52" s="488"/>
      <c r="BH52" s="473"/>
      <c r="BI52" s="473"/>
      <c r="BJ52" s="473"/>
      <c r="BK52" s="389"/>
      <c r="BL52" s="331"/>
      <c r="BM52" s="331"/>
      <c r="BN52" s="490"/>
      <c r="BO52" s="490"/>
      <c r="BP52" s="490"/>
      <c r="BQ52" s="490"/>
      <c r="BR52" s="490"/>
      <c r="BS52" s="490"/>
      <c r="BT52" s="490"/>
      <c r="BU52" s="490"/>
      <c r="BV52" s="490"/>
      <c r="BW52" s="491"/>
      <c r="BX52" s="488"/>
      <c r="BY52" s="335"/>
    </row>
    <row r="53">
      <c r="A53" s="14"/>
      <c r="B53" s="417" t="str">
        <f>Aules!B49</f>
        <v>Marcel</v>
      </c>
      <c r="C53" s="417" t="str">
        <f>Aules!C49</f>
        <v>Barceló Martín</v>
      </c>
      <c r="D53" s="14"/>
      <c r="E53" s="14"/>
      <c r="F53" s="437" t="s">
        <v>622</v>
      </c>
      <c r="I53" s="489"/>
      <c r="J53" s="492"/>
      <c r="K53" s="492"/>
      <c r="L53" s="492"/>
      <c r="M53" s="492"/>
      <c r="N53" s="492"/>
      <c r="O53" s="384"/>
      <c r="P53" s="384"/>
      <c r="Q53" s="384"/>
      <c r="R53" s="384"/>
      <c r="S53" s="384"/>
      <c r="T53" s="489"/>
      <c r="U53" s="492"/>
      <c r="V53" s="492"/>
      <c r="W53" s="384"/>
      <c r="X53" s="384"/>
      <c r="Y53" s="384"/>
      <c r="Z53" s="384"/>
      <c r="AA53" s="384"/>
      <c r="AB53" s="492"/>
      <c r="AC53" s="492"/>
      <c r="AD53" s="492"/>
      <c r="AE53" s="489"/>
      <c r="AF53" s="371"/>
      <c r="AG53" s="492"/>
      <c r="AH53" s="492"/>
      <c r="AI53" s="384"/>
      <c r="AJ53" s="384"/>
      <c r="AK53" s="384"/>
      <c r="AL53" s="384"/>
      <c r="AM53" s="384"/>
      <c r="AN53" s="371"/>
      <c r="AO53" s="371"/>
      <c r="AP53" s="489"/>
      <c r="AQ53" s="492"/>
      <c r="AR53" s="492"/>
      <c r="AS53" s="384"/>
      <c r="AT53" s="384"/>
      <c r="AU53" s="384"/>
      <c r="AV53" s="384"/>
      <c r="AW53" s="384"/>
      <c r="AX53" s="384"/>
      <c r="AY53" s="384"/>
      <c r="AZ53" s="384"/>
      <c r="BA53" s="372"/>
      <c r="BB53" s="384"/>
      <c r="BC53" s="384"/>
      <c r="BD53" s="384"/>
      <c r="BE53" s="384"/>
      <c r="BF53" s="384"/>
      <c r="BG53" s="372"/>
      <c r="BH53" s="492"/>
      <c r="BI53" s="492"/>
      <c r="BJ53" s="492"/>
      <c r="BK53" s="389"/>
      <c r="BL53" s="331"/>
      <c r="BM53" s="331"/>
      <c r="BN53" s="490"/>
      <c r="BO53" s="490"/>
      <c r="BP53" s="490"/>
      <c r="BQ53" s="389"/>
      <c r="BR53" s="389"/>
      <c r="BS53" s="389"/>
      <c r="BT53" s="389"/>
      <c r="BU53" s="389"/>
      <c r="BV53" s="389"/>
      <c r="BW53" s="491"/>
      <c r="BX53" s="372"/>
      <c r="BY53" s="335"/>
    </row>
    <row r="54">
      <c r="A54" s="14"/>
      <c r="B54" s="417" t="str">
        <f>Aules!B50</f>
        <v>Arnau</v>
      </c>
      <c r="C54" s="417" t="str">
        <f>Aules!C50</f>
        <v>Arance Merlos</v>
      </c>
      <c r="D54" s="14"/>
      <c r="E54" s="14"/>
      <c r="F54" s="437" t="s">
        <v>630</v>
      </c>
      <c r="I54" s="489"/>
      <c r="J54" s="492"/>
      <c r="K54" s="492"/>
      <c r="L54" s="492"/>
      <c r="M54" s="492"/>
      <c r="N54" s="492"/>
      <c r="O54" s="384"/>
      <c r="P54" s="384"/>
      <c r="Q54" s="384"/>
      <c r="R54" s="384"/>
      <c r="S54" s="384"/>
      <c r="T54" s="489"/>
      <c r="U54" s="492"/>
      <c r="V54" s="492"/>
      <c r="W54" s="384"/>
      <c r="X54" s="384"/>
      <c r="Y54" s="384"/>
      <c r="Z54" s="384"/>
      <c r="AA54" s="384"/>
      <c r="AB54" s="492"/>
      <c r="AC54" s="492"/>
      <c r="AD54" s="492"/>
      <c r="AE54" s="489"/>
      <c r="AF54" s="371"/>
      <c r="AG54" s="492"/>
      <c r="AH54" s="492"/>
      <c r="AI54" s="384"/>
      <c r="AJ54" s="384"/>
      <c r="AK54" s="384"/>
      <c r="AL54" s="384"/>
      <c r="AM54" s="384"/>
      <c r="AN54" s="371"/>
      <c r="AO54" s="371"/>
      <c r="AP54" s="489"/>
      <c r="AQ54" s="492"/>
      <c r="AR54" s="492"/>
      <c r="AS54" s="384"/>
      <c r="AT54" s="384"/>
      <c r="AU54" s="384"/>
      <c r="AV54" s="384"/>
      <c r="AW54" s="384"/>
      <c r="AX54" s="384"/>
      <c r="AY54" s="384"/>
      <c r="AZ54" s="384"/>
      <c r="BA54" s="372"/>
      <c r="BB54" s="384"/>
      <c r="BC54" s="384"/>
      <c r="BD54" s="384"/>
      <c r="BE54" s="384"/>
      <c r="BF54" s="384"/>
      <c r="BG54" s="372"/>
      <c r="BH54" s="492"/>
      <c r="BI54" s="492"/>
      <c r="BJ54" s="492"/>
      <c r="BK54" s="389"/>
      <c r="BL54" s="331"/>
      <c r="BM54" s="331"/>
      <c r="BN54" s="389"/>
      <c r="BO54" s="389"/>
      <c r="BP54" s="389"/>
      <c r="BQ54" s="389"/>
      <c r="BR54" s="389"/>
      <c r="BS54" s="389"/>
      <c r="BT54" s="389"/>
      <c r="BU54" s="389"/>
      <c r="BV54" s="389"/>
      <c r="BW54" s="491"/>
      <c r="BX54" s="372"/>
      <c r="BY54" s="335"/>
    </row>
    <row r="55">
      <c r="A55" s="396">
        <f>GRUPS!A50</f>
        <v>17</v>
      </c>
      <c r="B55" s="396" t="str">
        <f>GRUPS!B50</f>
        <v>Pol</v>
      </c>
      <c r="C55" s="396" t="str">
        <f>GRUPS!C50</f>
        <v>Caruso Nieto</v>
      </c>
      <c r="D55" s="396" t="str">
        <f>GRUPS!E50</f>
        <v>RAFA</v>
      </c>
      <c r="E55" s="396">
        <f>GRUPS!F50</f>
        <v>44</v>
      </c>
      <c r="F55" s="400" t="s">
        <v>608</v>
      </c>
      <c r="G55" s="8"/>
      <c r="H55" s="8"/>
      <c r="I55" s="369"/>
      <c r="J55" s="410"/>
      <c r="K55" s="410"/>
      <c r="L55" s="410"/>
      <c r="M55" s="410"/>
      <c r="N55" s="410"/>
      <c r="O55" s="370"/>
      <c r="P55" s="370"/>
      <c r="Q55" s="370"/>
      <c r="R55" s="370"/>
      <c r="S55" s="370"/>
      <c r="T55" s="369"/>
      <c r="U55" s="410"/>
      <c r="V55" s="410"/>
      <c r="W55" s="370"/>
      <c r="X55" s="370"/>
      <c r="Y55" s="370"/>
      <c r="Z55" s="370"/>
      <c r="AA55" s="370"/>
      <c r="AB55" s="410"/>
      <c r="AC55" s="410"/>
      <c r="AD55" s="410"/>
      <c r="AE55" s="369"/>
      <c r="AF55" s="386"/>
      <c r="AG55" s="410"/>
      <c r="AH55" s="410"/>
      <c r="AI55" s="370"/>
      <c r="AJ55" s="370"/>
      <c r="AK55" s="370"/>
      <c r="AL55" s="370"/>
      <c r="AM55" s="370"/>
      <c r="AN55" s="386"/>
      <c r="AO55" s="386"/>
      <c r="AP55" s="369"/>
      <c r="AQ55" s="410"/>
      <c r="AR55" s="410"/>
      <c r="AS55" s="370"/>
      <c r="AT55" s="370"/>
      <c r="AU55" s="370"/>
      <c r="AV55" s="370"/>
      <c r="AW55" s="370"/>
      <c r="AX55" s="370"/>
      <c r="AY55" s="370"/>
      <c r="AZ55" s="370"/>
      <c r="BA55" s="388"/>
      <c r="BB55" s="370"/>
      <c r="BC55" s="370"/>
      <c r="BD55" s="370"/>
      <c r="BE55" s="370"/>
      <c r="BF55" s="370"/>
      <c r="BG55" s="388"/>
      <c r="BH55" s="410"/>
      <c r="BI55" s="410"/>
      <c r="BJ55" s="410"/>
      <c r="BK55" s="31"/>
      <c r="BL55" s="31"/>
      <c r="BX55" s="388"/>
      <c r="BY55" s="377"/>
    </row>
    <row r="56">
      <c r="A56" s="14"/>
      <c r="B56" s="396" t="str">
        <f>GRUPS!B51</f>
        <v>Ian</v>
      </c>
      <c r="C56" s="396" t="str">
        <f>GRUPS!C51</f>
        <v>Perera Buján</v>
      </c>
      <c r="D56" s="14"/>
      <c r="E56" s="14"/>
      <c r="F56" s="409" t="s">
        <v>622</v>
      </c>
      <c r="I56" s="369"/>
      <c r="J56" s="410"/>
      <c r="K56" s="410"/>
      <c r="L56" s="410"/>
      <c r="M56" s="410"/>
      <c r="N56" s="410"/>
      <c r="O56" s="370"/>
      <c r="P56" s="370"/>
      <c r="Q56" s="370"/>
      <c r="R56" s="370"/>
      <c r="S56" s="370"/>
      <c r="T56" s="369"/>
      <c r="U56" s="410"/>
      <c r="V56" s="410"/>
      <c r="W56" s="370"/>
      <c r="X56" s="370"/>
      <c r="Y56" s="370"/>
      <c r="Z56" s="370"/>
      <c r="AA56" s="370"/>
      <c r="AB56" s="410"/>
      <c r="AC56" s="410"/>
      <c r="AD56" s="410"/>
      <c r="AE56" s="369"/>
      <c r="AF56" s="386"/>
      <c r="AG56" s="410"/>
      <c r="AH56" s="410"/>
      <c r="AI56" s="370"/>
      <c r="AJ56" s="370"/>
      <c r="AK56" s="370"/>
      <c r="AL56" s="370"/>
      <c r="AM56" s="370"/>
      <c r="AN56" s="386"/>
      <c r="AO56" s="386"/>
      <c r="AP56" s="369"/>
      <c r="AQ56" s="410"/>
      <c r="AR56" s="410"/>
      <c r="AS56" s="370"/>
      <c r="AT56" s="370"/>
      <c r="AU56" s="370"/>
      <c r="AV56" s="370"/>
      <c r="AW56" s="370"/>
      <c r="AX56" s="370"/>
      <c r="AY56" s="370"/>
      <c r="AZ56" s="370"/>
      <c r="BA56" s="388"/>
      <c r="BB56" s="370"/>
      <c r="BC56" s="370"/>
      <c r="BD56" s="370"/>
      <c r="BE56" s="370"/>
      <c r="BF56" s="370"/>
      <c r="BG56" s="388"/>
      <c r="BH56" s="410"/>
      <c r="BI56" s="410"/>
      <c r="BJ56" s="410"/>
      <c r="BX56" s="388"/>
      <c r="BY56" s="22"/>
    </row>
    <row r="57">
      <c r="A57" s="14"/>
      <c r="B57" s="396" t="str">
        <f>GRUPS!B52</f>
        <v>Juan David</v>
      </c>
      <c r="C57" s="396" t="str">
        <f>GRUPS!C52</f>
        <v>Godoy Ferrer</v>
      </c>
      <c r="D57" s="14"/>
      <c r="E57" s="14"/>
      <c r="F57" s="409" t="s">
        <v>630</v>
      </c>
      <c r="I57" s="496"/>
      <c r="J57" s="454"/>
      <c r="K57" s="454"/>
      <c r="L57" s="454"/>
      <c r="M57" s="454"/>
      <c r="N57" s="454"/>
      <c r="O57" s="461"/>
      <c r="P57" s="461"/>
      <c r="Q57" s="461"/>
      <c r="R57" s="461"/>
      <c r="S57" s="461"/>
      <c r="T57" s="496"/>
      <c r="U57" s="454"/>
      <c r="V57" s="454"/>
      <c r="W57" s="461"/>
      <c r="X57" s="461"/>
      <c r="Y57" s="461"/>
      <c r="Z57" s="461"/>
      <c r="AA57" s="461"/>
      <c r="AB57" s="454"/>
      <c r="AC57" s="454"/>
      <c r="AD57" s="454"/>
      <c r="AE57" s="496"/>
      <c r="AF57" s="462"/>
      <c r="AG57" s="454"/>
      <c r="AH57" s="454"/>
      <c r="AI57" s="461"/>
      <c r="AJ57" s="461"/>
      <c r="AK57" s="461"/>
      <c r="AL57" s="461"/>
      <c r="AM57" s="497"/>
      <c r="AN57" s="462"/>
      <c r="AO57" s="462"/>
      <c r="AP57" s="496"/>
      <c r="AQ57" s="454"/>
      <c r="AR57" s="454"/>
      <c r="AS57" s="461"/>
      <c r="AT57" s="461"/>
      <c r="AU57" s="497"/>
      <c r="AV57" s="461"/>
      <c r="AW57" s="461"/>
      <c r="AX57" s="461"/>
      <c r="AY57" s="461"/>
      <c r="AZ57" s="461"/>
      <c r="BA57" s="463"/>
      <c r="BB57" s="497"/>
      <c r="BC57" s="461"/>
      <c r="BD57" s="461"/>
      <c r="BE57" s="461"/>
      <c r="BF57" s="497"/>
      <c r="BG57" s="463"/>
      <c r="BH57" s="454"/>
      <c r="BI57" s="454"/>
      <c r="BJ57" s="454"/>
      <c r="BK57" s="16"/>
      <c r="BL57" s="16"/>
      <c r="BM57" s="16"/>
      <c r="BN57" s="16"/>
      <c r="BO57" s="16"/>
      <c r="BP57" s="16"/>
      <c r="BQ57" s="16"/>
      <c r="BR57" s="16"/>
      <c r="BS57" s="16"/>
      <c r="BT57" s="16"/>
      <c r="BU57" s="16"/>
      <c r="BV57" s="16"/>
      <c r="BW57" s="16"/>
      <c r="BX57" s="463"/>
      <c r="BY57" s="19"/>
    </row>
    <row r="58">
      <c r="A58" s="417">
        <f>GRUPS!A53</f>
        <v>18</v>
      </c>
      <c r="B58" s="417" t="str">
        <f>GRUPS!B53</f>
        <v>Julen</v>
      </c>
      <c r="C58" s="417" t="str">
        <f>GRUPS!C53</f>
        <v>Rejas López</v>
      </c>
      <c r="D58" s="417" t="str">
        <f>GRUPS!E53</f>
        <v>ALAN</v>
      </c>
      <c r="E58" s="417">
        <f>GRUPS!F53</f>
        <v>44</v>
      </c>
      <c r="F58" s="426" t="s">
        <v>608</v>
      </c>
      <c r="G58" s="8"/>
      <c r="H58" s="8"/>
      <c r="X58" s="31" t="s">
        <v>688</v>
      </c>
      <c r="BA58" s="313"/>
      <c r="BG58" s="313"/>
      <c r="BX58" s="313"/>
    </row>
    <row r="59">
      <c r="A59" s="14"/>
      <c r="B59" s="417" t="str">
        <f>GRUPS!B54</f>
        <v>Nil</v>
      </c>
      <c r="C59" s="417" t="str">
        <f>GRUPS!C54</f>
        <v>Tomàs Molina</v>
      </c>
      <c r="D59" s="14"/>
      <c r="E59" s="14"/>
      <c r="F59" s="437" t="s">
        <v>622</v>
      </c>
      <c r="Z59" s="103"/>
      <c r="BA59" s="313"/>
      <c r="BG59" s="313"/>
      <c r="BX59" s="313"/>
    </row>
    <row r="60">
      <c r="A60" s="14"/>
      <c r="B60" s="417" t="str">
        <f>GRUPS!B55</f>
        <v>Zouhair</v>
      </c>
      <c r="C60" s="417" t="str">
        <f>GRUPS!C55</f>
        <v>Lasri l'Harrak</v>
      </c>
      <c r="D60" s="14"/>
      <c r="E60" s="14"/>
      <c r="F60" s="437" t="s">
        <v>630</v>
      </c>
      <c r="Z60" s="103"/>
      <c r="BA60" s="313"/>
      <c r="BG60" s="313"/>
      <c r="BX60" s="313"/>
    </row>
    <row r="61">
      <c r="A61" s="396">
        <f>GRUPS!A56</f>
        <v>19</v>
      </c>
      <c r="B61" s="396" t="str">
        <f>GRUPS!B56</f>
        <v>Carlos A.</v>
      </c>
      <c r="C61" s="396" t="str">
        <f>GRUPS!C56</f>
        <v>González Baluja</v>
      </c>
      <c r="D61" s="396" t="str">
        <f>GRUPS!E56</f>
        <v>JOSE</v>
      </c>
      <c r="E61" s="396">
        <f>GRUPS!F56</f>
        <v>44</v>
      </c>
      <c r="F61" s="400" t="s">
        <v>608</v>
      </c>
      <c r="G61" s="8"/>
      <c r="H61" s="8"/>
      <c r="Z61" s="103"/>
      <c r="BA61" s="313"/>
      <c r="BG61" s="313"/>
      <c r="BX61" s="313"/>
    </row>
    <row r="62">
      <c r="A62" s="14"/>
      <c r="B62" s="396" t="str">
        <f>GRUPS!B57</f>
        <v>Max</v>
      </c>
      <c r="C62" s="396" t="str">
        <f>GRUPS!C57</f>
        <v>Costa Godó</v>
      </c>
      <c r="D62" s="14"/>
      <c r="E62" s="14"/>
      <c r="F62" s="409" t="s">
        <v>622</v>
      </c>
      <c r="Z62" s="103"/>
      <c r="BA62" s="313"/>
      <c r="BG62" s="313"/>
      <c r="BX62" s="313"/>
    </row>
    <row r="63">
      <c r="A63" s="14"/>
      <c r="B63" s="396" t="str">
        <f>GRUPS!B58</f>
        <v>Xavier</v>
      </c>
      <c r="C63" s="396" t="str">
        <f>GRUPS!C58</f>
        <v>Zafra Santander</v>
      </c>
      <c r="D63" s="14"/>
      <c r="E63" s="14"/>
      <c r="F63" s="409" t="s">
        <v>630</v>
      </c>
      <c r="Z63" s="103"/>
      <c r="BA63" s="313"/>
      <c r="BG63" s="313"/>
      <c r="BX63" s="313"/>
    </row>
    <row r="64">
      <c r="A64" s="417">
        <f>GRUPS!A59</f>
        <v>20</v>
      </c>
      <c r="B64" s="417" t="str">
        <f>GRUPS!B59</f>
        <v>Carlos</v>
      </c>
      <c r="C64" s="417" t="str">
        <f>GRUPS!C59</f>
        <v>Habacz Golinsk</v>
      </c>
      <c r="D64" s="417" t="str">
        <f>GRUPS!E59</f>
        <v>XAVI</v>
      </c>
      <c r="E64" s="417">
        <f>GRUPS!F59</f>
        <v>44</v>
      </c>
      <c r="F64" s="426" t="s">
        <v>608</v>
      </c>
      <c r="G64" s="8"/>
      <c r="H64" s="8"/>
      <c r="BA64" s="313"/>
      <c r="BG64" s="313"/>
      <c r="BX64" s="313"/>
    </row>
    <row r="65">
      <c r="A65" s="14"/>
      <c r="B65" s="417" t="str">
        <f>GRUPS!B60</f>
        <v>Zeus</v>
      </c>
      <c r="C65" s="417" t="str">
        <f>GRUPS!C60</f>
        <v>Navarro Ramos</v>
      </c>
      <c r="D65" s="14"/>
      <c r="E65" s="14"/>
      <c r="F65" s="437" t="s">
        <v>622</v>
      </c>
      <c r="BA65" s="313"/>
      <c r="BG65" s="313"/>
      <c r="BX65" s="313"/>
    </row>
    <row r="66">
      <c r="A66" s="14"/>
      <c r="B66" s="417" t="str">
        <f>GRUPS!B61</f>
        <v>Rubén</v>
      </c>
      <c r="C66" s="417" t="str">
        <f>GRUPS!C61</f>
        <v>Navarro Tosso</v>
      </c>
      <c r="D66" s="14"/>
      <c r="E66" s="14"/>
      <c r="F66" s="437" t="s">
        <v>630</v>
      </c>
      <c r="BA66" s="313"/>
      <c r="BG66" s="313"/>
      <c r="BX66" s="313"/>
    </row>
    <row r="67">
      <c r="A67" s="396">
        <f>GRUPS!A62</f>
        <v>21</v>
      </c>
      <c r="B67" s="396" t="str">
        <f>GRUPS!B62</f>
        <v>Pablo</v>
      </c>
      <c r="C67" s="396" t="str">
        <f>GRUPS!C62</f>
        <v>Marrero Arcos</v>
      </c>
      <c r="D67" s="396" t="str">
        <f>GRUPS!E62</f>
        <v>HECTOR</v>
      </c>
      <c r="E67" s="396">
        <f>GRUPS!F62</f>
        <v>44</v>
      </c>
      <c r="F67" s="400" t="s">
        <v>608</v>
      </c>
      <c r="G67" s="8"/>
      <c r="H67" s="8"/>
      <c r="BA67" s="313"/>
      <c r="BG67" s="313"/>
      <c r="BX67" s="313"/>
    </row>
    <row r="68">
      <c r="A68" s="14"/>
      <c r="B68" s="396" t="str">
        <f>GRUPS!B63</f>
        <v>Joan</v>
      </c>
      <c r="C68" s="396" t="str">
        <f>GRUPS!C63</f>
        <v>Delgado Velásquez</v>
      </c>
      <c r="D68" s="14"/>
      <c r="E68" s="14"/>
      <c r="F68" s="409" t="s">
        <v>622</v>
      </c>
      <c r="BA68" s="313"/>
      <c r="BG68" s="313"/>
      <c r="BX68" s="313"/>
    </row>
    <row r="69">
      <c r="A69" s="14"/>
      <c r="B69" s="396" t="str">
        <f>GRUPS!B64</f>
        <v>Aquiles A.</v>
      </c>
      <c r="C69" s="396" t="str">
        <f>GRUPS!C64</f>
        <v>Palma Caigua</v>
      </c>
      <c r="D69" s="14"/>
      <c r="E69" s="14"/>
      <c r="F69" s="409" t="s">
        <v>630</v>
      </c>
      <c r="BA69" s="313"/>
      <c r="BG69" s="313"/>
      <c r="BX69" s="313"/>
    </row>
    <row r="70">
      <c r="A70" s="347" t="str">
        <f>GRUPS!A65</f>
        <v/>
      </c>
      <c r="B70" s="347" t="str">
        <f>GRUPS!B65</f>
        <v>Alfonso</v>
      </c>
      <c r="C70" s="347" t="str">
        <f>GRUPS!C65</f>
        <v>Castillo Edo</v>
      </c>
      <c r="D70" s="347" t="str">
        <f>GRUPS!E65</f>
        <v/>
      </c>
      <c r="E70" s="347" t="str">
        <f>GRUPS!F65</f>
        <v/>
      </c>
      <c r="F70" s="499"/>
      <c r="G70" s="499"/>
      <c r="H70" s="499"/>
      <c r="BA70" s="313"/>
      <c r="BG70" s="313"/>
      <c r="BX70" s="313"/>
    </row>
    <row r="71">
      <c r="A71" s="14"/>
      <c r="B71" s="347" t="str">
        <f>GRUPS!B66</f>
        <v/>
      </c>
      <c r="C71" s="347" t="str">
        <f>GRUPS!C66</f>
        <v/>
      </c>
      <c r="D71" s="14"/>
      <c r="E71" s="14"/>
      <c r="F71" s="499"/>
      <c r="G71" s="499"/>
      <c r="H71" s="499"/>
      <c r="BA71" s="313"/>
      <c r="BG71" s="313"/>
      <c r="BX71" s="313"/>
    </row>
    <row r="72">
      <c r="A72" s="14"/>
      <c r="B72" s="347" t="str">
        <f>GRUPS!B67</f>
        <v/>
      </c>
      <c r="C72" s="347" t="str">
        <f>GRUPS!C67</f>
        <v/>
      </c>
      <c r="D72" s="14"/>
      <c r="E72" s="14"/>
      <c r="F72" s="499"/>
      <c r="G72" s="499"/>
      <c r="H72" s="499"/>
      <c r="BA72" s="313"/>
      <c r="BG72" s="313"/>
      <c r="BX72" s="313"/>
      <c r="BY72" s="315"/>
    </row>
    <row r="73">
      <c r="A73" s="499"/>
      <c r="B73" s="499"/>
      <c r="C73" s="499"/>
      <c r="D73" s="499"/>
      <c r="E73" s="499"/>
      <c r="F73" s="499"/>
      <c r="G73" s="499"/>
      <c r="H73" s="499"/>
      <c r="BA73" s="313"/>
      <c r="BG73" s="313"/>
      <c r="BX73" s="313"/>
      <c r="BY73" s="315"/>
    </row>
    <row r="74">
      <c r="A74" s="499"/>
      <c r="B74" s="499"/>
      <c r="C74" s="499"/>
      <c r="D74" s="499"/>
      <c r="E74" s="499"/>
      <c r="F74" s="499"/>
      <c r="G74" s="499"/>
      <c r="H74" s="499"/>
      <c r="BA74" s="313"/>
      <c r="BG74" s="313"/>
      <c r="BX74" s="313"/>
      <c r="BY74" s="315"/>
    </row>
    <row r="75">
      <c r="A75" s="499"/>
      <c r="B75" s="499"/>
      <c r="C75" s="499"/>
      <c r="D75" s="499"/>
      <c r="E75" s="499"/>
      <c r="F75" s="499"/>
      <c r="G75" s="499"/>
      <c r="H75" s="499"/>
      <c r="BA75" s="313"/>
      <c r="BG75" s="313"/>
      <c r="BX75" s="313"/>
      <c r="BY75" s="315"/>
    </row>
    <row r="76">
      <c r="A76" s="347" t="str">
        <f>Aules!A72</f>
        <v/>
      </c>
      <c r="B76" s="347" t="str">
        <f>Aules!B72</f>
        <v/>
      </c>
      <c r="C76" s="347" t="str">
        <f>Aules!C72</f>
        <v/>
      </c>
      <c r="D76" s="347" t="str">
        <f>GRUPS!E71</f>
        <v/>
      </c>
      <c r="E76" s="347" t="str">
        <f>GRUPS!F71</f>
        <v/>
      </c>
      <c r="F76" s="499"/>
      <c r="G76" s="499"/>
      <c r="H76" s="499"/>
      <c r="BA76" s="313"/>
      <c r="BG76" s="313"/>
      <c r="BX76" s="313"/>
      <c r="BY76" s="315"/>
    </row>
    <row r="77">
      <c r="BA77" s="313"/>
      <c r="BG77" s="313"/>
      <c r="BX77" s="313"/>
      <c r="BY77" s="315"/>
    </row>
    <row r="78">
      <c r="BA78" s="313"/>
      <c r="BG78" s="313"/>
      <c r="BX78" s="313"/>
      <c r="BY78" s="315"/>
    </row>
    <row r="79">
      <c r="BA79" s="313"/>
      <c r="BG79" s="313"/>
      <c r="BX79" s="313"/>
      <c r="BY79" s="315"/>
    </row>
    <row r="80">
      <c r="BA80" s="313"/>
      <c r="BG80" s="313"/>
      <c r="BX80" s="313"/>
      <c r="BY80" s="315"/>
    </row>
    <row r="81">
      <c r="BA81" s="313"/>
      <c r="BG81" s="313"/>
      <c r="BX81" s="313"/>
      <c r="BY81" s="315"/>
    </row>
    <row r="82">
      <c r="BA82" s="313"/>
      <c r="BG82" s="313"/>
      <c r="BX82" s="313"/>
      <c r="BY82" s="315"/>
    </row>
    <row r="83">
      <c r="BA83" s="313"/>
      <c r="BG83" s="313"/>
      <c r="BX83" s="313"/>
      <c r="BY83" s="315"/>
    </row>
    <row r="84">
      <c r="BA84" s="313"/>
      <c r="BG84" s="313"/>
      <c r="BX84" s="313"/>
      <c r="BY84" s="315"/>
    </row>
    <row r="85">
      <c r="BA85" s="313"/>
      <c r="BG85" s="313"/>
      <c r="BX85" s="313"/>
      <c r="BY85" s="315"/>
    </row>
    <row r="86">
      <c r="BA86" s="313"/>
      <c r="BG86" s="313"/>
      <c r="BX86" s="313"/>
      <c r="BY86" s="315"/>
    </row>
    <row r="87">
      <c r="BA87" s="313"/>
      <c r="BG87" s="313"/>
      <c r="BX87" s="313"/>
      <c r="BY87" s="315"/>
    </row>
    <row r="88">
      <c r="BA88" s="313"/>
      <c r="BG88" s="313"/>
      <c r="BX88" s="313"/>
      <c r="BY88" s="315"/>
    </row>
    <row r="89">
      <c r="BA89" s="313"/>
      <c r="BG89" s="313"/>
      <c r="BX89" s="313"/>
      <c r="BY89" s="315"/>
    </row>
    <row r="90">
      <c r="BA90" s="313"/>
      <c r="BG90" s="313"/>
      <c r="BX90" s="313"/>
      <c r="BY90" s="315"/>
    </row>
    <row r="91">
      <c r="BA91" s="313"/>
      <c r="BG91" s="313"/>
      <c r="BX91" s="313"/>
      <c r="BY91" s="315"/>
    </row>
    <row r="92">
      <c r="BA92" s="313"/>
      <c r="BG92" s="313"/>
      <c r="BX92" s="313"/>
      <c r="BY92" s="315"/>
    </row>
    <row r="93">
      <c r="BA93" s="313"/>
      <c r="BG93" s="313"/>
      <c r="BX93" s="313"/>
      <c r="BY93" s="315"/>
    </row>
    <row r="94">
      <c r="BA94" s="313"/>
      <c r="BG94" s="313"/>
      <c r="BX94" s="313"/>
      <c r="BY94" s="315"/>
    </row>
    <row r="95">
      <c r="BA95" s="313"/>
      <c r="BG95" s="313"/>
      <c r="BX95" s="313"/>
      <c r="BY95" s="315"/>
    </row>
    <row r="96">
      <c r="BA96" s="313"/>
      <c r="BG96" s="313"/>
      <c r="BX96" s="313"/>
      <c r="BY96" s="315"/>
    </row>
    <row r="97">
      <c r="BA97" s="313"/>
      <c r="BG97" s="313"/>
      <c r="BX97" s="313"/>
      <c r="BY97" s="315"/>
    </row>
    <row r="98">
      <c r="BA98" s="313"/>
      <c r="BG98" s="313"/>
      <c r="BX98" s="313"/>
      <c r="BY98" s="315"/>
    </row>
    <row r="99">
      <c r="BA99" s="313"/>
      <c r="BG99" s="313"/>
      <c r="BX99" s="313"/>
      <c r="BY99" s="315"/>
    </row>
    <row r="100">
      <c r="BA100" s="313"/>
      <c r="BG100" s="313"/>
      <c r="BX100" s="313"/>
      <c r="BY100" s="315"/>
    </row>
    <row r="101">
      <c r="BA101" s="313"/>
      <c r="BG101" s="313"/>
      <c r="BX101" s="313"/>
      <c r="BY101" s="315"/>
    </row>
    <row r="102">
      <c r="BA102" s="313"/>
      <c r="BG102" s="313"/>
      <c r="BX102" s="313"/>
      <c r="BY102" s="315"/>
    </row>
    <row r="103">
      <c r="BA103" s="313"/>
      <c r="BG103" s="313"/>
      <c r="BX103" s="313"/>
      <c r="BY103" s="315"/>
    </row>
    <row r="104">
      <c r="BA104" s="313"/>
      <c r="BG104" s="313"/>
      <c r="BX104" s="313"/>
      <c r="BY104" s="315"/>
    </row>
    <row r="105">
      <c r="BA105" s="313"/>
      <c r="BG105" s="313"/>
      <c r="BX105" s="313"/>
      <c r="BY105" s="315"/>
    </row>
    <row r="106">
      <c r="BA106" s="313"/>
      <c r="BG106" s="313"/>
      <c r="BX106" s="313"/>
      <c r="BY106" s="315"/>
    </row>
    <row r="107">
      <c r="BA107" s="313"/>
      <c r="BG107" s="313"/>
      <c r="BX107" s="313"/>
      <c r="BY107" s="315"/>
    </row>
    <row r="108">
      <c r="BA108" s="313"/>
      <c r="BG108" s="313"/>
      <c r="BX108" s="313"/>
      <c r="BY108" s="315"/>
    </row>
    <row r="109">
      <c r="BA109" s="313"/>
      <c r="BG109" s="313"/>
      <c r="BX109" s="313"/>
      <c r="BY109" s="315"/>
    </row>
    <row r="110">
      <c r="BA110" s="313"/>
      <c r="BG110" s="313"/>
      <c r="BX110" s="313"/>
      <c r="BY110" s="315"/>
    </row>
    <row r="111">
      <c r="BA111" s="313"/>
      <c r="BG111" s="313"/>
      <c r="BX111" s="313"/>
      <c r="BY111" s="315"/>
    </row>
    <row r="112">
      <c r="BA112" s="313"/>
      <c r="BG112" s="313"/>
      <c r="BX112" s="313"/>
      <c r="BY112" s="315"/>
    </row>
    <row r="113">
      <c r="BA113" s="313"/>
      <c r="BG113" s="313"/>
      <c r="BX113" s="313"/>
      <c r="BY113" s="315"/>
    </row>
    <row r="114">
      <c r="BA114" s="313"/>
      <c r="BG114" s="313"/>
      <c r="BX114" s="313"/>
      <c r="BY114" s="315"/>
    </row>
    <row r="115">
      <c r="BA115" s="313"/>
      <c r="BG115" s="313"/>
      <c r="BX115" s="313"/>
      <c r="BY115" s="315"/>
    </row>
    <row r="116">
      <c r="BA116" s="313"/>
      <c r="BG116" s="313"/>
      <c r="BX116" s="313"/>
      <c r="BY116" s="315"/>
    </row>
    <row r="117">
      <c r="BA117" s="313"/>
      <c r="BG117" s="313"/>
      <c r="BX117" s="313"/>
      <c r="BY117" s="315"/>
    </row>
    <row r="118">
      <c r="BA118" s="313"/>
      <c r="BG118" s="313"/>
      <c r="BX118" s="313"/>
      <c r="BY118" s="315"/>
    </row>
    <row r="119">
      <c r="BA119" s="313"/>
      <c r="BG119" s="313"/>
      <c r="BX119" s="313"/>
      <c r="BY119" s="315"/>
    </row>
    <row r="120">
      <c r="BA120" s="313"/>
      <c r="BG120" s="313"/>
      <c r="BX120" s="313"/>
      <c r="BY120" s="315"/>
    </row>
    <row r="121">
      <c r="BA121" s="313"/>
      <c r="BG121" s="313"/>
      <c r="BX121" s="313"/>
      <c r="BY121" s="315"/>
    </row>
    <row r="122">
      <c r="BA122" s="313"/>
      <c r="BG122" s="313"/>
      <c r="BX122" s="313"/>
      <c r="BY122" s="315"/>
    </row>
    <row r="123">
      <c r="BA123" s="313"/>
      <c r="BG123" s="313"/>
      <c r="BX123" s="313"/>
      <c r="BY123" s="315"/>
    </row>
    <row r="124">
      <c r="BA124" s="313"/>
      <c r="BG124" s="313"/>
      <c r="BX124" s="313"/>
      <c r="BY124" s="315"/>
    </row>
    <row r="125">
      <c r="BA125" s="313"/>
      <c r="BG125" s="313"/>
      <c r="BX125" s="313"/>
      <c r="BY125" s="315"/>
    </row>
    <row r="126">
      <c r="BA126" s="313"/>
      <c r="BG126" s="313"/>
      <c r="BX126" s="313"/>
      <c r="BY126" s="315"/>
    </row>
    <row r="127">
      <c r="BA127" s="313"/>
      <c r="BG127" s="313"/>
      <c r="BX127" s="313"/>
      <c r="BY127" s="315"/>
    </row>
    <row r="128">
      <c r="BA128" s="313"/>
      <c r="BG128" s="313"/>
      <c r="BX128" s="313"/>
      <c r="BY128" s="315"/>
    </row>
    <row r="129">
      <c r="BA129" s="313"/>
      <c r="BG129" s="313"/>
      <c r="BX129" s="313"/>
      <c r="BY129" s="315"/>
    </row>
    <row r="130">
      <c r="BA130" s="313"/>
      <c r="BG130" s="313"/>
      <c r="BX130" s="313"/>
      <c r="BY130" s="315"/>
    </row>
    <row r="131">
      <c r="BA131" s="313"/>
      <c r="BG131" s="313"/>
      <c r="BX131" s="313"/>
      <c r="BY131" s="315"/>
    </row>
    <row r="132">
      <c r="BA132" s="313"/>
      <c r="BG132" s="313"/>
      <c r="BX132" s="313"/>
      <c r="BY132" s="315"/>
    </row>
    <row r="133">
      <c r="BA133" s="313"/>
      <c r="BG133" s="313"/>
      <c r="BX133" s="313"/>
      <c r="BY133" s="315"/>
    </row>
    <row r="134">
      <c r="BA134" s="313"/>
      <c r="BG134" s="313"/>
      <c r="BX134" s="313"/>
      <c r="BY134" s="315"/>
    </row>
    <row r="135">
      <c r="BA135" s="313"/>
      <c r="BG135" s="313"/>
      <c r="BX135" s="313"/>
      <c r="BY135" s="315"/>
    </row>
    <row r="136">
      <c r="BA136" s="313"/>
      <c r="BG136" s="313"/>
      <c r="BX136" s="313"/>
      <c r="BY136" s="315"/>
    </row>
    <row r="137">
      <c r="BA137" s="313"/>
      <c r="BG137" s="313"/>
      <c r="BX137" s="313"/>
      <c r="BY137" s="315"/>
    </row>
    <row r="138">
      <c r="BA138" s="313"/>
      <c r="BG138" s="313"/>
      <c r="BX138" s="313"/>
      <c r="BY138" s="315"/>
    </row>
    <row r="139">
      <c r="BA139" s="313"/>
      <c r="BG139" s="313"/>
      <c r="BX139" s="313"/>
      <c r="BY139" s="315"/>
    </row>
    <row r="140">
      <c r="BA140" s="313"/>
      <c r="BG140" s="313"/>
      <c r="BX140" s="313"/>
      <c r="BY140" s="315"/>
    </row>
    <row r="141">
      <c r="BA141" s="313"/>
      <c r="BG141" s="313"/>
      <c r="BX141" s="313"/>
      <c r="BY141" s="315"/>
    </row>
    <row r="142">
      <c r="BA142" s="313"/>
      <c r="BG142" s="313"/>
      <c r="BX142" s="313"/>
      <c r="BY142" s="315"/>
    </row>
    <row r="143">
      <c r="BA143" s="313"/>
      <c r="BG143" s="313"/>
      <c r="BX143" s="313"/>
      <c r="BY143" s="315"/>
    </row>
    <row r="144">
      <c r="BA144" s="313"/>
      <c r="BG144" s="313"/>
      <c r="BX144" s="313"/>
      <c r="BY144" s="315"/>
    </row>
    <row r="145">
      <c r="BA145" s="313"/>
      <c r="BG145" s="313"/>
      <c r="BX145" s="313"/>
      <c r="BY145" s="315"/>
    </row>
    <row r="146">
      <c r="BA146" s="313"/>
      <c r="BG146" s="313"/>
      <c r="BX146" s="313"/>
      <c r="BY146" s="315"/>
    </row>
    <row r="147">
      <c r="BA147" s="313"/>
      <c r="BG147" s="313"/>
      <c r="BX147" s="313"/>
      <c r="BY147" s="315"/>
    </row>
    <row r="148">
      <c r="BA148" s="313"/>
      <c r="BG148" s="313"/>
      <c r="BX148" s="313"/>
      <c r="BY148" s="315"/>
    </row>
    <row r="149">
      <c r="BA149" s="313"/>
      <c r="BG149" s="313"/>
      <c r="BX149" s="313"/>
      <c r="BY149" s="315"/>
    </row>
    <row r="150">
      <c r="BA150" s="313"/>
      <c r="BG150" s="313"/>
      <c r="BX150" s="313"/>
      <c r="BY150" s="315"/>
    </row>
    <row r="151">
      <c r="BA151" s="313"/>
      <c r="BG151" s="313"/>
      <c r="BX151" s="313"/>
      <c r="BY151" s="315"/>
    </row>
    <row r="152">
      <c r="BA152" s="313"/>
      <c r="BG152" s="313"/>
      <c r="BX152" s="313"/>
      <c r="BY152" s="315"/>
    </row>
    <row r="153">
      <c r="BA153" s="313"/>
      <c r="BG153" s="313"/>
      <c r="BX153" s="313"/>
      <c r="BY153" s="315"/>
    </row>
    <row r="154">
      <c r="BA154" s="313"/>
      <c r="BG154" s="313"/>
      <c r="BX154" s="313"/>
      <c r="BY154" s="315"/>
    </row>
    <row r="155">
      <c r="BA155" s="313"/>
      <c r="BG155" s="313"/>
      <c r="BX155" s="313"/>
      <c r="BY155" s="315"/>
    </row>
    <row r="156">
      <c r="BA156" s="313"/>
      <c r="BG156" s="313"/>
      <c r="BX156" s="313"/>
      <c r="BY156" s="315"/>
    </row>
    <row r="157">
      <c r="BA157" s="313"/>
      <c r="BG157" s="313"/>
      <c r="BX157" s="313"/>
      <c r="BY157" s="315"/>
    </row>
    <row r="158">
      <c r="BA158" s="313"/>
      <c r="BG158" s="313"/>
      <c r="BX158" s="313"/>
      <c r="BY158" s="315"/>
    </row>
    <row r="159">
      <c r="BA159" s="313"/>
      <c r="BG159" s="313"/>
      <c r="BX159" s="313"/>
      <c r="BY159" s="315"/>
    </row>
    <row r="160">
      <c r="BA160" s="313"/>
      <c r="BG160" s="313"/>
      <c r="BX160" s="313"/>
      <c r="BY160" s="315"/>
    </row>
    <row r="161">
      <c r="BA161" s="313"/>
      <c r="BG161" s="313"/>
      <c r="BX161" s="313"/>
      <c r="BY161" s="315"/>
    </row>
    <row r="162">
      <c r="BA162" s="313"/>
      <c r="BG162" s="313"/>
      <c r="BX162" s="313"/>
      <c r="BY162" s="315"/>
    </row>
    <row r="163">
      <c r="BA163" s="313"/>
      <c r="BG163" s="313"/>
      <c r="BX163" s="313"/>
      <c r="BY163" s="315"/>
    </row>
    <row r="164">
      <c r="BA164" s="313"/>
      <c r="BG164" s="313"/>
      <c r="BX164" s="313"/>
      <c r="BY164" s="315"/>
    </row>
    <row r="165">
      <c r="BA165" s="313"/>
      <c r="BG165" s="313"/>
      <c r="BX165" s="313"/>
      <c r="BY165" s="315"/>
    </row>
    <row r="166">
      <c r="BA166" s="313"/>
      <c r="BG166" s="313"/>
      <c r="BX166" s="313"/>
      <c r="BY166" s="315"/>
    </row>
    <row r="167">
      <c r="BA167" s="313"/>
      <c r="BG167" s="313"/>
      <c r="BX167" s="313"/>
      <c r="BY167" s="315"/>
    </row>
    <row r="168">
      <c r="BA168" s="313"/>
      <c r="BG168" s="313"/>
      <c r="BX168" s="313"/>
      <c r="BY168" s="315"/>
    </row>
    <row r="169">
      <c r="BA169" s="313"/>
      <c r="BG169" s="313"/>
      <c r="BX169" s="313"/>
      <c r="BY169" s="315"/>
    </row>
    <row r="170">
      <c r="BA170" s="313"/>
      <c r="BG170" s="313"/>
      <c r="BX170" s="313"/>
      <c r="BY170" s="315"/>
    </row>
    <row r="171">
      <c r="BA171" s="313"/>
      <c r="BG171" s="313"/>
      <c r="BX171" s="313"/>
      <c r="BY171" s="315"/>
    </row>
    <row r="172">
      <c r="BA172" s="313"/>
      <c r="BG172" s="313"/>
      <c r="BX172" s="313"/>
      <c r="BY172" s="315"/>
    </row>
    <row r="173">
      <c r="BA173" s="313"/>
      <c r="BG173" s="313"/>
      <c r="BX173" s="313"/>
      <c r="BY173" s="315"/>
    </row>
    <row r="174">
      <c r="BA174" s="313"/>
      <c r="BG174" s="313"/>
      <c r="BX174" s="313"/>
      <c r="BY174" s="315"/>
    </row>
    <row r="175">
      <c r="BA175" s="313"/>
      <c r="BG175" s="313"/>
      <c r="BX175" s="313"/>
      <c r="BY175" s="315"/>
    </row>
    <row r="176">
      <c r="BA176" s="313"/>
      <c r="BG176" s="313"/>
      <c r="BX176" s="313"/>
      <c r="BY176" s="315"/>
    </row>
    <row r="177">
      <c r="BA177" s="313"/>
      <c r="BG177" s="313"/>
      <c r="BX177" s="313"/>
      <c r="BY177" s="315"/>
    </row>
    <row r="178">
      <c r="BA178" s="313"/>
      <c r="BG178" s="313"/>
      <c r="BX178" s="313"/>
      <c r="BY178" s="315"/>
    </row>
    <row r="179">
      <c r="BA179" s="313"/>
      <c r="BG179" s="313"/>
      <c r="BX179" s="313"/>
      <c r="BY179" s="315"/>
    </row>
    <row r="180">
      <c r="BA180" s="313"/>
      <c r="BG180" s="313"/>
      <c r="BX180" s="313"/>
      <c r="BY180" s="315"/>
    </row>
    <row r="181">
      <c r="BA181" s="313"/>
      <c r="BG181" s="313"/>
      <c r="BX181" s="313"/>
      <c r="BY181" s="315"/>
    </row>
    <row r="182">
      <c r="BA182" s="313"/>
      <c r="BG182" s="313"/>
      <c r="BX182" s="313"/>
      <c r="BY182" s="315"/>
    </row>
    <row r="183">
      <c r="BA183" s="313"/>
      <c r="BG183" s="313"/>
      <c r="BX183" s="313"/>
      <c r="BY183" s="315"/>
    </row>
    <row r="184">
      <c r="BA184" s="313"/>
      <c r="BG184" s="313"/>
      <c r="BX184" s="313"/>
      <c r="BY184" s="315"/>
    </row>
    <row r="185">
      <c r="BA185" s="313"/>
      <c r="BG185" s="313"/>
      <c r="BX185" s="313"/>
      <c r="BY185" s="315"/>
    </row>
    <row r="186">
      <c r="BA186" s="313"/>
      <c r="BG186" s="313"/>
      <c r="BX186" s="313"/>
      <c r="BY186" s="315"/>
    </row>
    <row r="187">
      <c r="BA187" s="313"/>
      <c r="BG187" s="313"/>
      <c r="BX187" s="313"/>
      <c r="BY187" s="315"/>
    </row>
    <row r="188">
      <c r="BA188" s="313"/>
      <c r="BG188" s="313"/>
      <c r="BX188" s="313"/>
      <c r="BY188" s="315"/>
    </row>
    <row r="189">
      <c r="BA189" s="313"/>
      <c r="BG189" s="313"/>
      <c r="BX189" s="313"/>
      <c r="BY189" s="315"/>
    </row>
    <row r="190">
      <c r="BA190" s="313"/>
      <c r="BG190" s="313"/>
      <c r="BX190" s="313"/>
      <c r="BY190" s="315"/>
    </row>
    <row r="191">
      <c r="BA191" s="313"/>
      <c r="BG191" s="313"/>
      <c r="BX191" s="313"/>
      <c r="BY191" s="315"/>
    </row>
    <row r="192">
      <c r="BA192" s="313"/>
      <c r="BG192" s="313"/>
      <c r="BX192" s="313"/>
      <c r="BY192" s="315"/>
    </row>
    <row r="193">
      <c r="BA193" s="313"/>
      <c r="BG193" s="313"/>
      <c r="BX193" s="313"/>
      <c r="BY193" s="315"/>
    </row>
    <row r="194">
      <c r="BA194" s="313"/>
      <c r="BG194" s="313"/>
      <c r="BX194" s="313"/>
      <c r="BY194" s="315"/>
    </row>
    <row r="195">
      <c r="BA195" s="313"/>
      <c r="BG195" s="313"/>
      <c r="BX195" s="313"/>
      <c r="BY195" s="315"/>
    </row>
    <row r="196">
      <c r="BA196" s="313"/>
      <c r="BG196" s="313"/>
      <c r="BX196" s="313"/>
      <c r="BY196" s="315"/>
    </row>
    <row r="197">
      <c r="BA197" s="313"/>
      <c r="BG197" s="313"/>
      <c r="BX197" s="313"/>
      <c r="BY197" s="315"/>
    </row>
    <row r="198">
      <c r="BA198" s="313"/>
      <c r="BG198" s="313"/>
      <c r="BX198" s="313"/>
      <c r="BY198" s="315"/>
    </row>
    <row r="199">
      <c r="BA199" s="313"/>
      <c r="BG199" s="313"/>
      <c r="BX199" s="313"/>
      <c r="BY199" s="315"/>
    </row>
    <row r="200">
      <c r="BA200" s="313"/>
      <c r="BG200" s="313"/>
      <c r="BX200" s="313"/>
      <c r="BY200" s="315"/>
    </row>
    <row r="201">
      <c r="BA201" s="313"/>
      <c r="BG201" s="313"/>
      <c r="BX201" s="313"/>
      <c r="BY201" s="315"/>
    </row>
    <row r="202">
      <c r="BA202" s="313"/>
      <c r="BG202" s="313"/>
      <c r="BX202" s="313"/>
      <c r="BY202" s="315"/>
    </row>
    <row r="203">
      <c r="BA203" s="313"/>
      <c r="BG203" s="313"/>
      <c r="BX203" s="313"/>
      <c r="BY203" s="315"/>
    </row>
    <row r="204">
      <c r="BA204" s="313"/>
      <c r="BG204" s="313"/>
      <c r="BX204" s="313"/>
      <c r="BY204" s="315"/>
    </row>
    <row r="205">
      <c r="BA205" s="313"/>
      <c r="BG205" s="313"/>
      <c r="BX205" s="313"/>
      <c r="BY205" s="315"/>
    </row>
    <row r="206">
      <c r="BA206" s="313"/>
      <c r="BG206" s="313"/>
      <c r="BX206" s="313"/>
      <c r="BY206" s="315"/>
    </row>
    <row r="207">
      <c r="BA207" s="313"/>
      <c r="BG207" s="313"/>
      <c r="BX207" s="313"/>
      <c r="BY207" s="315"/>
    </row>
    <row r="208">
      <c r="BA208" s="313"/>
      <c r="BG208" s="313"/>
      <c r="BX208" s="313"/>
      <c r="BY208" s="315"/>
    </row>
    <row r="209">
      <c r="BA209" s="313"/>
      <c r="BG209" s="313"/>
      <c r="BX209" s="313"/>
      <c r="BY209" s="315"/>
    </row>
    <row r="210">
      <c r="BA210" s="313"/>
      <c r="BG210" s="313"/>
      <c r="BX210" s="313"/>
      <c r="BY210" s="315"/>
    </row>
    <row r="211">
      <c r="BA211" s="313"/>
      <c r="BG211" s="313"/>
      <c r="BX211" s="313"/>
      <c r="BY211" s="315"/>
    </row>
    <row r="212">
      <c r="BA212" s="313"/>
      <c r="BG212" s="313"/>
      <c r="BX212" s="313"/>
      <c r="BY212" s="315"/>
    </row>
    <row r="213">
      <c r="BA213" s="313"/>
      <c r="BG213" s="313"/>
      <c r="BX213" s="313"/>
      <c r="BY213" s="315"/>
    </row>
    <row r="214">
      <c r="BA214" s="313"/>
      <c r="BG214" s="313"/>
      <c r="BX214" s="313"/>
      <c r="BY214" s="315"/>
    </row>
    <row r="215">
      <c r="BA215" s="313"/>
      <c r="BG215" s="313"/>
      <c r="BX215" s="313"/>
      <c r="BY215" s="315"/>
    </row>
    <row r="216">
      <c r="BA216" s="313"/>
      <c r="BG216" s="313"/>
      <c r="BX216" s="313"/>
      <c r="BY216" s="315"/>
    </row>
    <row r="217">
      <c r="BA217" s="313"/>
      <c r="BG217" s="313"/>
      <c r="BX217" s="313"/>
      <c r="BY217" s="315"/>
    </row>
    <row r="218">
      <c r="BA218" s="313"/>
      <c r="BG218" s="313"/>
      <c r="BX218" s="313"/>
      <c r="BY218" s="315"/>
    </row>
    <row r="219">
      <c r="BA219" s="313"/>
      <c r="BG219" s="313"/>
      <c r="BX219" s="313"/>
      <c r="BY219" s="315"/>
    </row>
    <row r="220">
      <c r="BA220" s="313"/>
      <c r="BG220" s="313"/>
      <c r="BX220" s="313"/>
      <c r="BY220" s="315"/>
    </row>
    <row r="221">
      <c r="BA221" s="313"/>
      <c r="BG221" s="313"/>
      <c r="BX221" s="313"/>
      <c r="BY221" s="315"/>
    </row>
    <row r="222">
      <c r="BA222" s="313"/>
      <c r="BG222" s="313"/>
      <c r="BX222" s="313"/>
      <c r="BY222" s="315"/>
    </row>
    <row r="223">
      <c r="BA223" s="313"/>
      <c r="BG223" s="313"/>
      <c r="BX223" s="313"/>
      <c r="BY223" s="315"/>
    </row>
    <row r="224">
      <c r="BA224" s="313"/>
      <c r="BG224" s="313"/>
      <c r="BX224" s="313"/>
      <c r="BY224" s="315"/>
    </row>
    <row r="225">
      <c r="BA225" s="313"/>
      <c r="BG225" s="313"/>
      <c r="BX225" s="313"/>
      <c r="BY225" s="315"/>
    </row>
    <row r="226">
      <c r="BA226" s="313"/>
      <c r="BG226" s="313"/>
      <c r="BX226" s="313"/>
      <c r="BY226" s="315"/>
    </row>
    <row r="227">
      <c r="BA227" s="313"/>
      <c r="BG227" s="313"/>
      <c r="BX227" s="313"/>
      <c r="BY227" s="315"/>
    </row>
    <row r="228">
      <c r="BA228" s="313"/>
      <c r="BG228" s="313"/>
      <c r="BX228" s="313"/>
      <c r="BY228" s="315"/>
    </row>
    <row r="229">
      <c r="BA229" s="313"/>
      <c r="BG229" s="313"/>
      <c r="BX229" s="313"/>
      <c r="BY229" s="315"/>
    </row>
    <row r="230">
      <c r="BA230" s="313"/>
      <c r="BG230" s="313"/>
      <c r="BX230" s="313"/>
      <c r="BY230" s="315"/>
    </row>
    <row r="231">
      <c r="BA231" s="313"/>
      <c r="BG231" s="313"/>
      <c r="BX231" s="313"/>
      <c r="BY231" s="315"/>
    </row>
    <row r="232">
      <c r="BA232" s="313"/>
      <c r="BG232" s="313"/>
      <c r="BX232" s="313"/>
      <c r="BY232" s="315"/>
    </row>
    <row r="233">
      <c r="BA233" s="313"/>
      <c r="BG233" s="313"/>
      <c r="BX233" s="313"/>
      <c r="BY233" s="315"/>
    </row>
    <row r="234">
      <c r="BA234" s="313"/>
      <c r="BG234" s="313"/>
      <c r="BX234" s="313"/>
      <c r="BY234" s="315"/>
    </row>
    <row r="235">
      <c r="BA235" s="313"/>
      <c r="BG235" s="313"/>
      <c r="BX235" s="313"/>
      <c r="BY235" s="315"/>
    </row>
    <row r="236">
      <c r="BA236" s="313"/>
      <c r="BG236" s="313"/>
      <c r="BX236" s="313"/>
      <c r="BY236" s="315"/>
    </row>
    <row r="237">
      <c r="BA237" s="313"/>
      <c r="BG237" s="313"/>
      <c r="BX237" s="313"/>
      <c r="BY237" s="315"/>
    </row>
    <row r="238">
      <c r="BA238" s="313"/>
      <c r="BG238" s="313"/>
      <c r="BX238" s="313"/>
      <c r="BY238" s="315"/>
    </row>
    <row r="239">
      <c r="BA239" s="313"/>
      <c r="BG239" s="313"/>
      <c r="BX239" s="313"/>
      <c r="BY239" s="315"/>
    </row>
    <row r="240">
      <c r="BA240" s="313"/>
      <c r="BG240" s="313"/>
      <c r="BX240" s="313"/>
      <c r="BY240" s="315"/>
    </row>
    <row r="241">
      <c r="BA241" s="313"/>
      <c r="BG241" s="313"/>
      <c r="BX241" s="313"/>
      <c r="BY241" s="315"/>
    </row>
    <row r="242">
      <c r="BA242" s="313"/>
      <c r="BG242" s="313"/>
      <c r="BX242" s="313"/>
      <c r="BY242" s="315"/>
    </row>
    <row r="243">
      <c r="BA243" s="313"/>
      <c r="BG243" s="313"/>
      <c r="BX243" s="313"/>
      <c r="BY243" s="315"/>
    </row>
    <row r="244">
      <c r="BA244" s="313"/>
      <c r="BG244" s="313"/>
      <c r="BX244" s="313"/>
      <c r="BY244" s="315"/>
    </row>
    <row r="245">
      <c r="BA245" s="313"/>
      <c r="BG245" s="313"/>
      <c r="BX245" s="313"/>
      <c r="BY245" s="315"/>
    </row>
    <row r="246">
      <c r="BA246" s="313"/>
      <c r="BG246" s="313"/>
      <c r="BX246" s="313"/>
      <c r="BY246" s="315"/>
    </row>
    <row r="247">
      <c r="BA247" s="313"/>
      <c r="BG247" s="313"/>
      <c r="BX247" s="313"/>
      <c r="BY247" s="315"/>
    </row>
    <row r="248">
      <c r="BA248" s="313"/>
      <c r="BG248" s="313"/>
      <c r="BX248" s="313"/>
      <c r="BY248" s="315"/>
    </row>
    <row r="249">
      <c r="BA249" s="313"/>
      <c r="BG249" s="313"/>
      <c r="BX249" s="313"/>
      <c r="BY249" s="315"/>
    </row>
    <row r="250">
      <c r="BA250" s="313"/>
      <c r="BG250" s="313"/>
      <c r="BX250" s="313"/>
      <c r="BY250" s="315"/>
    </row>
    <row r="251">
      <c r="BA251" s="313"/>
      <c r="BG251" s="313"/>
      <c r="BX251" s="313"/>
      <c r="BY251" s="315"/>
    </row>
    <row r="252">
      <c r="BA252" s="313"/>
      <c r="BG252" s="313"/>
      <c r="BX252" s="313"/>
      <c r="BY252" s="315"/>
    </row>
    <row r="253">
      <c r="BA253" s="313"/>
      <c r="BG253" s="313"/>
      <c r="BX253" s="313"/>
      <c r="BY253" s="315"/>
    </row>
    <row r="254">
      <c r="BA254" s="313"/>
      <c r="BG254" s="313"/>
      <c r="BX254" s="313"/>
      <c r="BY254" s="315"/>
    </row>
    <row r="255">
      <c r="BA255" s="313"/>
      <c r="BG255" s="313"/>
      <c r="BX255" s="313"/>
      <c r="BY255" s="315"/>
    </row>
    <row r="256">
      <c r="BA256" s="313"/>
      <c r="BG256" s="313"/>
      <c r="BX256" s="313"/>
      <c r="BY256" s="315"/>
    </row>
    <row r="257">
      <c r="BA257" s="313"/>
      <c r="BG257" s="313"/>
      <c r="BX257" s="313"/>
      <c r="BY257" s="315"/>
    </row>
    <row r="258">
      <c r="BA258" s="313"/>
      <c r="BG258" s="313"/>
      <c r="BX258" s="313"/>
      <c r="BY258" s="315"/>
    </row>
    <row r="259">
      <c r="BA259" s="313"/>
      <c r="BG259" s="313"/>
      <c r="BX259" s="313"/>
      <c r="BY259" s="315"/>
    </row>
    <row r="260">
      <c r="BA260" s="313"/>
      <c r="BG260" s="313"/>
      <c r="BX260" s="313"/>
      <c r="BY260" s="315"/>
    </row>
    <row r="261">
      <c r="BA261" s="313"/>
      <c r="BG261" s="313"/>
      <c r="BX261" s="313"/>
      <c r="BY261" s="315"/>
    </row>
    <row r="262">
      <c r="BA262" s="313"/>
      <c r="BG262" s="313"/>
      <c r="BX262" s="313"/>
      <c r="BY262" s="315"/>
    </row>
    <row r="263">
      <c r="BA263" s="313"/>
      <c r="BG263" s="313"/>
      <c r="BX263" s="313"/>
      <c r="BY263" s="315"/>
    </row>
    <row r="264">
      <c r="BA264" s="313"/>
      <c r="BG264" s="313"/>
      <c r="BX264" s="313"/>
      <c r="BY264" s="315"/>
    </row>
    <row r="265">
      <c r="BA265" s="313"/>
      <c r="BG265" s="313"/>
      <c r="BX265" s="313"/>
      <c r="BY265" s="315"/>
    </row>
    <row r="266">
      <c r="BA266" s="313"/>
      <c r="BG266" s="313"/>
      <c r="BX266" s="313"/>
      <c r="BY266" s="315"/>
    </row>
    <row r="267">
      <c r="BA267" s="313"/>
      <c r="BG267" s="313"/>
      <c r="BX267" s="313"/>
      <c r="BY267" s="315"/>
    </row>
    <row r="268">
      <c r="BA268" s="313"/>
      <c r="BG268" s="313"/>
      <c r="BX268" s="313"/>
      <c r="BY268" s="315"/>
    </row>
    <row r="269">
      <c r="BA269" s="313"/>
      <c r="BG269" s="313"/>
      <c r="BX269" s="313"/>
      <c r="BY269" s="315"/>
    </row>
    <row r="270">
      <c r="BA270" s="313"/>
      <c r="BG270" s="313"/>
      <c r="BX270" s="313"/>
      <c r="BY270" s="315"/>
    </row>
    <row r="271">
      <c r="BA271" s="313"/>
      <c r="BG271" s="313"/>
      <c r="BX271" s="313"/>
      <c r="BY271" s="315"/>
    </row>
    <row r="272">
      <c r="BA272" s="313"/>
      <c r="BG272" s="313"/>
      <c r="BX272" s="313"/>
      <c r="BY272" s="315"/>
    </row>
    <row r="273">
      <c r="BA273" s="313"/>
      <c r="BG273" s="313"/>
      <c r="BX273" s="313"/>
      <c r="BY273" s="315"/>
    </row>
    <row r="274">
      <c r="BA274" s="313"/>
      <c r="BG274" s="313"/>
      <c r="BX274" s="313"/>
      <c r="BY274" s="315"/>
    </row>
    <row r="275">
      <c r="BA275" s="313"/>
      <c r="BG275" s="313"/>
      <c r="BX275" s="313"/>
      <c r="BY275" s="315"/>
    </row>
    <row r="276">
      <c r="BA276" s="313"/>
      <c r="BG276" s="313"/>
      <c r="BX276" s="313"/>
      <c r="BY276" s="315"/>
    </row>
    <row r="277">
      <c r="BA277" s="313"/>
      <c r="BG277" s="313"/>
      <c r="BX277" s="313"/>
      <c r="BY277" s="315"/>
    </row>
    <row r="278">
      <c r="BA278" s="313"/>
      <c r="BG278" s="313"/>
      <c r="BX278" s="313"/>
      <c r="BY278" s="315"/>
    </row>
    <row r="279">
      <c r="BA279" s="313"/>
      <c r="BG279" s="313"/>
      <c r="BX279" s="313"/>
      <c r="BY279" s="315"/>
    </row>
    <row r="280">
      <c r="BA280" s="313"/>
      <c r="BG280" s="313"/>
      <c r="BX280" s="313"/>
      <c r="BY280" s="315"/>
    </row>
    <row r="281">
      <c r="BA281" s="313"/>
      <c r="BG281" s="313"/>
      <c r="BX281" s="313"/>
      <c r="BY281" s="315"/>
    </row>
    <row r="282">
      <c r="BA282" s="313"/>
      <c r="BG282" s="313"/>
      <c r="BX282" s="313"/>
      <c r="BY282" s="315"/>
    </row>
    <row r="283">
      <c r="BA283" s="313"/>
      <c r="BG283" s="313"/>
      <c r="BX283" s="313"/>
      <c r="BY283" s="315"/>
    </row>
    <row r="284">
      <c r="BA284" s="313"/>
      <c r="BG284" s="313"/>
      <c r="BX284" s="313"/>
      <c r="BY284" s="315"/>
    </row>
    <row r="285">
      <c r="BA285" s="313"/>
      <c r="BG285" s="313"/>
      <c r="BX285" s="313"/>
      <c r="BY285" s="315"/>
    </row>
    <row r="286">
      <c r="BA286" s="313"/>
      <c r="BG286" s="313"/>
      <c r="BX286" s="313"/>
      <c r="BY286" s="315"/>
    </row>
    <row r="287">
      <c r="BA287" s="313"/>
      <c r="BG287" s="313"/>
      <c r="BX287" s="313"/>
      <c r="BY287" s="315"/>
    </row>
    <row r="288">
      <c r="BA288" s="313"/>
      <c r="BG288" s="313"/>
      <c r="BX288" s="313"/>
      <c r="BY288" s="315"/>
    </row>
    <row r="289">
      <c r="BA289" s="313"/>
      <c r="BG289" s="313"/>
      <c r="BX289" s="313"/>
      <c r="BY289" s="315"/>
    </row>
    <row r="290">
      <c r="BA290" s="313"/>
      <c r="BG290" s="313"/>
      <c r="BX290" s="313"/>
      <c r="BY290" s="315"/>
    </row>
    <row r="291">
      <c r="BA291" s="313"/>
      <c r="BG291" s="313"/>
      <c r="BX291" s="313"/>
      <c r="BY291" s="315"/>
    </row>
    <row r="292">
      <c r="BA292" s="313"/>
      <c r="BG292" s="313"/>
      <c r="BX292" s="313"/>
      <c r="BY292" s="315"/>
    </row>
    <row r="293">
      <c r="BA293" s="313"/>
      <c r="BG293" s="313"/>
      <c r="BX293" s="313"/>
      <c r="BY293" s="315"/>
    </row>
    <row r="294">
      <c r="BA294" s="313"/>
      <c r="BG294" s="313"/>
      <c r="BX294" s="313"/>
      <c r="BY294" s="315"/>
    </row>
    <row r="295">
      <c r="BA295" s="313"/>
      <c r="BG295" s="313"/>
      <c r="BX295" s="313"/>
      <c r="BY295" s="315"/>
    </row>
    <row r="296">
      <c r="BA296" s="313"/>
      <c r="BG296" s="313"/>
      <c r="BX296" s="313"/>
      <c r="BY296" s="315"/>
    </row>
    <row r="297">
      <c r="BA297" s="313"/>
      <c r="BG297" s="313"/>
      <c r="BX297" s="313"/>
      <c r="BY297" s="315"/>
    </row>
    <row r="298">
      <c r="BA298" s="313"/>
      <c r="BG298" s="313"/>
      <c r="BX298" s="313"/>
      <c r="BY298" s="315"/>
    </row>
    <row r="299">
      <c r="BA299" s="313"/>
      <c r="BG299" s="313"/>
      <c r="BX299" s="313"/>
      <c r="BY299" s="315"/>
    </row>
    <row r="300">
      <c r="BA300" s="313"/>
      <c r="BG300" s="313"/>
      <c r="BX300" s="313"/>
      <c r="BY300" s="315"/>
    </row>
    <row r="301">
      <c r="BA301" s="313"/>
      <c r="BG301" s="313"/>
      <c r="BX301" s="313"/>
      <c r="BY301" s="315"/>
    </row>
    <row r="302">
      <c r="BA302" s="313"/>
      <c r="BG302" s="313"/>
      <c r="BX302" s="313"/>
      <c r="BY302" s="315"/>
    </row>
    <row r="303">
      <c r="BA303" s="313"/>
      <c r="BG303" s="313"/>
      <c r="BX303" s="313"/>
      <c r="BY303" s="315"/>
    </row>
    <row r="304">
      <c r="BA304" s="313"/>
      <c r="BG304" s="313"/>
      <c r="BX304" s="313"/>
      <c r="BY304" s="315"/>
    </row>
    <row r="305">
      <c r="BA305" s="313"/>
      <c r="BG305" s="313"/>
      <c r="BX305" s="313"/>
      <c r="BY305" s="315"/>
    </row>
    <row r="306">
      <c r="BA306" s="313"/>
      <c r="BG306" s="313"/>
      <c r="BX306" s="313"/>
      <c r="BY306" s="315"/>
    </row>
    <row r="307">
      <c r="BA307" s="313"/>
      <c r="BG307" s="313"/>
      <c r="BX307" s="313"/>
      <c r="BY307" s="315"/>
    </row>
    <row r="308">
      <c r="BA308" s="313"/>
      <c r="BG308" s="313"/>
      <c r="BX308" s="313"/>
      <c r="BY308" s="315"/>
    </row>
    <row r="309">
      <c r="BA309" s="313"/>
      <c r="BG309" s="313"/>
      <c r="BX309" s="313"/>
      <c r="BY309" s="315"/>
    </row>
    <row r="310">
      <c r="BA310" s="313"/>
      <c r="BG310" s="313"/>
      <c r="BX310" s="313"/>
      <c r="BY310" s="315"/>
    </row>
    <row r="311">
      <c r="BA311" s="313"/>
      <c r="BG311" s="313"/>
      <c r="BX311" s="313"/>
      <c r="BY311" s="315"/>
    </row>
    <row r="312">
      <c r="BA312" s="313"/>
      <c r="BG312" s="313"/>
      <c r="BX312" s="313"/>
      <c r="BY312" s="315"/>
    </row>
    <row r="313">
      <c r="BA313" s="313"/>
      <c r="BG313" s="313"/>
      <c r="BX313" s="313"/>
      <c r="BY313" s="315"/>
    </row>
    <row r="314">
      <c r="BA314" s="313"/>
      <c r="BG314" s="313"/>
      <c r="BX314" s="313"/>
      <c r="BY314" s="315"/>
    </row>
    <row r="315">
      <c r="BA315" s="313"/>
      <c r="BG315" s="313"/>
      <c r="BX315" s="313"/>
      <c r="BY315" s="315"/>
    </row>
    <row r="316">
      <c r="BA316" s="313"/>
      <c r="BG316" s="313"/>
      <c r="BX316" s="313"/>
      <c r="BY316" s="315"/>
    </row>
    <row r="317">
      <c r="BA317" s="313"/>
      <c r="BG317" s="313"/>
      <c r="BX317" s="313"/>
      <c r="BY317" s="315"/>
    </row>
    <row r="318">
      <c r="BA318" s="313"/>
      <c r="BG318" s="313"/>
      <c r="BX318" s="313"/>
      <c r="BY318" s="315"/>
    </row>
    <row r="319">
      <c r="BA319" s="313"/>
      <c r="BG319" s="313"/>
      <c r="BX319" s="313"/>
      <c r="BY319" s="315"/>
    </row>
    <row r="320">
      <c r="BA320" s="313"/>
      <c r="BG320" s="313"/>
      <c r="BX320" s="313"/>
      <c r="BY320" s="315"/>
    </row>
    <row r="321">
      <c r="BA321" s="313"/>
      <c r="BG321" s="313"/>
      <c r="BX321" s="313"/>
      <c r="BY321" s="315"/>
    </row>
    <row r="322">
      <c r="BA322" s="313"/>
      <c r="BG322" s="313"/>
      <c r="BX322" s="313"/>
      <c r="BY322" s="315"/>
    </row>
    <row r="323">
      <c r="BA323" s="313"/>
      <c r="BG323" s="313"/>
      <c r="BX323" s="313"/>
      <c r="BY323" s="315"/>
    </row>
    <row r="324">
      <c r="BA324" s="313"/>
      <c r="BG324" s="313"/>
      <c r="BX324" s="313"/>
      <c r="BY324" s="315"/>
    </row>
    <row r="325">
      <c r="BA325" s="313"/>
      <c r="BG325" s="313"/>
      <c r="BX325" s="313"/>
      <c r="BY325" s="315"/>
    </row>
    <row r="326">
      <c r="BA326" s="313"/>
      <c r="BG326" s="313"/>
      <c r="BX326" s="313"/>
      <c r="BY326" s="315"/>
    </row>
    <row r="327">
      <c r="BA327" s="313"/>
      <c r="BG327" s="313"/>
      <c r="BX327" s="313"/>
      <c r="BY327" s="315"/>
    </row>
    <row r="328">
      <c r="BA328" s="313"/>
      <c r="BG328" s="313"/>
      <c r="BX328" s="313"/>
      <c r="BY328" s="315"/>
    </row>
    <row r="329">
      <c r="BA329" s="313"/>
      <c r="BG329" s="313"/>
      <c r="BX329" s="313"/>
      <c r="BY329" s="315"/>
    </row>
    <row r="330">
      <c r="BA330" s="313"/>
      <c r="BG330" s="313"/>
      <c r="BX330" s="313"/>
      <c r="BY330" s="315"/>
    </row>
    <row r="331">
      <c r="BA331" s="313"/>
      <c r="BG331" s="313"/>
      <c r="BX331" s="313"/>
      <c r="BY331" s="315"/>
    </row>
    <row r="332">
      <c r="BA332" s="313"/>
      <c r="BG332" s="313"/>
      <c r="BX332" s="313"/>
      <c r="BY332" s="315"/>
    </row>
    <row r="333">
      <c r="BA333" s="313"/>
      <c r="BG333" s="313"/>
      <c r="BX333" s="313"/>
      <c r="BY333" s="315"/>
    </row>
    <row r="334">
      <c r="BA334" s="313"/>
      <c r="BG334" s="313"/>
      <c r="BX334" s="313"/>
      <c r="BY334" s="315"/>
    </row>
    <row r="335">
      <c r="BA335" s="313"/>
      <c r="BG335" s="313"/>
      <c r="BX335" s="313"/>
      <c r="BY335" s="315"/>
    </row>
    <row r="336">
      <c r="BA336" s="313"/>
      <c r="BG336" s="313"/>
      <c r="BX336" s="313"/>
      <c r="BY336" s="315"/>
    </row>
    <row r="337">
      <c r="BA337" s="313"/>
      <c r="BG337" s="313"/>
      <c r="BX337" s="313"/>
      <c r="BY337" s="315"/>
    </row>
    <row r="338">
      <c r="BA338" s="313"/>
      <c r="BG338" s="313"/>
      <c r="BX338" s="313"/>
      <c r="BY338" s="315"/>
    </row>
    <row r="339">
      <c r="BA339" s="313"/>
      <c r="BG339" s="313"/>
      <c r="BX339" s="313"/>
      <c r="BY339" s="315"/>
    </row>
    <row r="340">
      <c r="BA340" s="313"/>
      <c r="BG340" s="313"/>
      <c r="BX340" s="313"/>
      <c r="BY340" s="315"/>
    </row>
    <row r="341">
      <c r="BA341" s="313"/>
      <c r="BG341" s="313"/>
      <c r="BX341" s="313"/>
      <c r="BY341" s="315"/>
    </row>
    <row r="342">
      <c r="BA342" s="313"/>
      <c r="BG342" s="313"/>
      <c r="BX342" s="313"/>
      <c r="BY342" s="315"/>
    </row>
    <row r="343">
      <c r="BA343" s="313"/>
      <c r="BG343" s="313"/>
      <c r="BX343" s="313"/>
      <c r="BY343" s="315"/>
    </row>
    <row r="344">
      <c r="BA344" s="313"/>
      <c r="BG344" s="313"/>
      <c r="BX344" s="313"/>
      <c r="BY344" s="315"/>
    </row>
    <row r="345">
      <c r="BA345" s="313"/>
      <c r="BG345" s="313"/>
      <c r="BX345" s="313"/>
      <c r="BY345" s="315"/>
    </row>
    <row r="346">
      <c r="BA346" s="313"/>
      <c r="BG346" s="313"/>
      <c r="BX346" s="313"/>
      <c r="BY346" s="315"/>
    </row>
    <row r="347">
      <c r="BA347" s="313"/>
      <c r="BG347" s="313"/>
      <c r="BX347" s="313"/>
      <c r="BY347" s="315"/>
    </row>
    <row r="348">
      <c r="BA348" s="313"/>
      <c r="BG348" s="313"/>
      <c r="BX348" s="313"/>
      <c r="BY348" s="315"/>
    </row>
    <row r="349">
      <c r="BA349" s="313"/>
      <c r="BG349" s="313"/>
      <c r="BX349" s="313"/>
      <c r="BY349" s="315"/>
    </row>
    <row r="350">
      <c r="BA350" s="313"/>
      <c r="BG350" s="313"/>
      <c r="BX350" s="313"/>
      <c r="BY350" s="315"/>
    </row>
    <row r="351">
      <c r="BA351" s="313"/>
      <c r="BG351" s="313"/>
      <c r="BX351" s="313"/>
      <c r="BY351" s="315"/>
    </row>
    <row r="352">
      <c r="BA352" s="313"/>
      <c r="BG352" s="313"/>
      <c r="BX352" s="313"/>
      <c r="BY352" s="315"/>
    </row>
    <row r="353">
      <c r="BA353" s="313"/>
      <c r="BG353" s="313"/>
      <c r="BX353" s="313"/>
      <c r="BY353" s="315"/>
    </row>
    <row r="354">
      <c r="BA354" s="313"/>
      <c r="BG354" s="313"/>
      <c r="BX354" s="313"/>
      <c r="BY354" s="315"/>
    </row>
    <row r="355">
      <c r="BA355" s="313"/>
      <c r="BG355" s="313"/>
      <c r="BX355" s="313"/>
      <c r="BY355" s="315"/>
    </row>
    <row r="356">
      <c r="BA356" s="313"/>
      <c r="BG356" s="313"/>
      <c r="BX356" s="313"/>
      <c r="BY356" s="315"/>
    </row>
    <row r="357">
      <c r="BA357" s="313"/>
      <c r="BG357" s="313"/>
      <c r="BX357" s="313"/>
      <c r="BY357" s="315"/>
    </row>
    <row r="358">
      <c r="BA358" s="313"/>
      <c r="BG358" s="313"/>
      <c r="BX358" s="313"/>
      <c r="BY358" s="315"/>
    </row>
    <row r="359">
      <c r="BA359" s="313"/>
      <c r="BG359" s="313"/>
      <c r="BX359" s="313"/>
      <c r="BY359" s="315"/>
    </row>
    <row r="360">
      <c r="BA360" s="313"/>
      <c r="BG360" s="313"/>
      <c r="BX360" s="313"/>
      <c r="BY360" s="315"/>
    </row>
    <row r="361">
      <c r="BA361" s="313"/>
      <c r="BG361" s="313"/>
      <c r="BX361" s="313"/>
      <c r="BY361" s="315"/>
    </row>
    <row r="362">
      <c r="BA362" s="313"/>
      <c r="BG362" s="313"/>
      <c r="BX362" s="313"/>
      <c r="BY362" s="315"/>
    </row>
    <row r="363">
      <c r="BA363" s="313"/>
      <c r="BG363" s="313"/>
      <c r="BX363" s="313"/>
      <c r="BY363" s="315"/>
    </row>
    <row r="364">
      <c r="BA364" s="313"/>
      <c r="BG364" s="313"/>
      <c r="BX364" s="313"/>
      <c r="BY364" s="315"/>
    </row>
    <row r="365">
      <c r="BA365" s="313"/>
      <c r="BG365" s="313"/>
      <c r="BX365" s="313"/>
      <c r="BY365" s="315"/>
    </row>
    <row r="366">
      <c r="BA366" s="313"/>
      <c r="BG366" s="313"/>
      <c r="BX366" s="313"/>
      <c r="BY366" s="315"/>
    </row>
    <row r="367">
      <c r="BA367" s="313"/>
      <c r="BG367" s="313"/>
      <c r="BX367" s="313"/>
      <c r="BY367" s="315"/>
    </row>
    <row r="368">
      <c r="BA368" s="313"/>
      <c r="BG368" s="313"/>
      <c r="BX368" s="313"/>
      <c r="BY368" s="315"/>
    </row>
    <row r="369">
      <c r="BA369" s="313"/>
      <c r="BG369" s="313"/>
      <c r="BX369" s="313"/>
      <c r="BY369" s="315"/>
    </row>
    <row r="370">
      <c r="BA370" s="313"/>
      <c r="BG370" s="313"/>
      <c r="BX370" s="313"/>
      <c r="BY370" s="315"/>
    </row>
    <row r="371">
      <c r="BA371" s="313"/>
      <c r="BG371" s="313"/>
      <c r="BX371" s="313"/>
      <c r="BY371" s="315"/>
    </row>
    <row r="372">
      <c r="BA372" s="313"/>
      <c r="BG372" s="313"/>
      <c r="BX372" s="313"/>
      <c r="BY372" s="315"/>
    </row>
    <row r="373">
      <c r="BA373" s="313"/>
      <c r="BG373" s="313"/>
      <c r="BX373" s="313"/>
      <c r="BY373" s="315"/>
    </row>
    <row r="374">
      <c r="BA374" s="313"/>
      <c r="BG374" s="313"/>
      <c r="BX374" s="313"/>
      <c r="BY374" s="315"/>
    </row>
    <row r="375">
      <c r="BA375" s="313"/>
      <c r="BG375" s="313"/>
      <c r="BX375" s="313"/>
      <c r="BY375" s="315"/>
    </row>
    <row r="376">
      <c r="BA376" s="313"/>
      <c r="BG376" s="313"/>
      <c r="BX376" s="313"/>
      <c r="BY376" s="315"/>
    </row>
    <row r="377">
      <c r="BA377" s="313"/>
      <c r="BG377" s="313"/>
      <c r="BX377" s="313"/>
      <c r="BY377" s="315"/>
    </row>
    <row r="378">
      <c r="BA378" s="313"/>
      <c r="BG378" s="313"/>
      <c r="BX378" s="313"/>
      <c r="BY378" s="315"/>
    </row>
    <row r="379">
      <c r="BA379" s="313"/>
      <c r="BG379" s="313"/>
      <c r="BX379" s="313"/>
      <c r="BY379" s="315"/>
    </row>
    <row r="380">
      <c r="BA380" s="313"/>
      <c r="BG380" s="313"/>
      <c r="BX380" s="313"/>
      <c r="BY380" s="315"/>
    </row>
    <row r="381">
      <c r="BA381" s="313"/>
      <c r="BG381" s="313"/>
      <c r="BX381" s="313"/>
      <c r="BY381" s="315"/>
    </row>
    <row r="382">
      <c r="BA382" s="313"/>
      <c r="BG382" s="313"/>
      <c r="BX382" s="313"/>
      <c r="BY382" s="315"/>
    </row>
    <row r="383">
      <c r="BA383" s="313"/>
      <c r="BG383" s="313"/>
      <c r="BX383" s="313"/>
      <c r="BY383" s="315"/>
    </row>
    <row r="384">
      <c r="BA384" s="313"/>
      <c r="BG384" s="313"/>
      <c r="BX384" s="313"/>
      <c r="BY384" s="315"/>
    </row>
    <row r="385">
      <c r="BA385" s="313"/>
      <c r="BG385" s="313"/>
      <c r="BX385" s="313"/>
      <c r="BY385" s="315"/>
    </row>
    <row r="386">
      <c r="BA386" s="313"/>
      <c r="BG386" s="313"/>
      <c r="BX386" s="313"/>
      <c r="BY386" s="315"/>
    </row>
    <row r="387">
      <c r="BA387" s="313"/>
      <c r="BG387" s="313"/>
      <c r="BX387" s="313"/>
      <c r="BY387" s="315"/>
    </row>
    <row r="388">
      <c r="BA388" s="313"/>
      <c r="BG388" s="313"/>
      <c r="BX388" s="313"/>
      <c r="BY388" s="315"/>
    </row>
    <row r="389">
      <c r="BA389" s="313"/>
      <c r="BG389" s="313"/>
      <c r="BX389" s="313"/>
      <c r="BY389" s="315"/>
    </row>
    <row r="390">
      <c r="BA390" s="313"/>
      <c r="BG390" s="313"/>
      <c r="BX390" s="313"/>
      <c r="BY390" s="315"/>
    </row>
    <row r="391">
      <c r="BA391" s="313"/>
      <c r="BG391" s="313"/>
      <c r="BX391" s="313"/>
      <c r="BY391" s="315"/>
    </row>
    <row r="392">
      <c r="BA392" s="313"/>
      <c r="BG392" s="313"/>
      <c r="BX392" s="313"/>
      <c r="BY392" s="315"/>
    </row>
    <row r="393">
      <c r="BA393" s="313"/>
      <c r="BG393" s="313"/>
      <c r="BX393" s="313"/>
      <c r="BY393" s="315"/>
    </row>
    <row r="394">
      <c r="BA394" s="313"/>
      <c r="BG394" s="313"/>
      <c r="BX394" s="313"/>
      <c r="BY394" s="315"/>
    </row>
    <row r="395">
      <c r="BA395" s="313"/>
      <c r="BG395" s="313"/>
      <c r="BX395" s="313"/>
      <c r="BY395" s="315"/>
    </row>
    <row r="396">
      <c r="BA396" s="313"/>
      <c r="BG396" s="313"/>
      <c r="BX396" s="313"/>
      <c r="BY396" s="315"/>
    </row>
    <row r="397">
      <c r="BA397" s="313"/>
      <c r="BG397" s="313"/>
      <c r="BX397" s="313"/>
      <c r="BY397" s="315"/>
    </row>
    <row r="398">
      <c r="BA398" s="313"/>
      <c r="BG398" s="313"/>
      <c r="BX398" s="313"/>
      <c r="BY398" s="315"/>
    </row>
    <row r="399">
      <c r="BA399" s="313"/>
      <c r="BG399" s="313"/>
      <c r="BX399" s="313"/>
      <c r="BY399" s="315"/>
    </row>
    <row r="400">
      <c r="BA400" s="313"/>
      <c r="BG400" s="313"/>
      <c r="BX400" s="313"/>
      <c r="BY400" s="315"/>
    </row>
    <row r="401">
      <c r="BA401" s="313"/>
      <c r="BG401" s="313"/>
      <c r="BX401" s="313"/>
      <c r="BY401" s="315"/>
    </row>
    <row r="402">
      <c r="BA402" s="313"/>
      <c r="BG402" s="313"/>
      <c r="BX402" s="313"/>
      <c r="BY402" s="315"/>
    </row>
    <row r="403">
      <c r="BA403" s="313"/>
      <c r="BG403" s="313"/>
      <c r="BX403" s="313"/>
      <c r="BY403" s="315"/>
    </row>
    <row r="404">
      <c r="BA404" s="313"/>
      <c r="BG404" s="313"/>
      <c r="BX404" s="313"/>
      <c r="BY404" s="315"/>
    </row>
    <row r="405">
      <c r="BA405" s="313"/>
      <c r="BG405" s="313"/>
      <c r="BX405" s="313"/>
      <c r="BY405" s="315"/>
    </row>
    <row r="406">
      <c r="BA406" s="313"/>
      <c r="BG406" s="313"/>
      <c r="BX406" s="313"/>
      <c r="BY406" s="315"/>
    </row>
    <row r="407">
      <c r="BA407" s="313"/>
      <c r="BG407" s="313"/>
      <c r="BX407" s="313"/>
      <c r="BY407" s="315"/>
    </row>
    <row r="408">
      <c r="BA408" s="313"/>
      <c r="BG408" s="313"/>
      <c r="BX408" s="313"/>
      <c r="BY408" s="315"/>
    </row>
    <row r="409">
      <c r="BA409" s="313"/>
      <c r="BG409" s="313"/>
      <c r="BX409" s="313"/>
      <c r="BY409" s="315"/>
    </row>
    <row r="410">
      <c r="BA410" s="313"/>
      <c r="BG410" s="313"/>
      <c r="BX410" s="313"/>
      <c r="BY410" s="315"/>
    </row>
    <row r="411">
      <c r="BA411" s="313"/>
      <c r="BG411" s="313"/>
      <c r="BX411" s="313"/>
      <c r="BY411" s="315"/>
    </row>
    <row r="412">
      <c r="BA412" s="313"/>
      <c r="BG412" s="313"/>
      <c r="BX412" s="313"/>
      <c r="BY412" s="315"/>
    </row>
    <row r="413">
      <c r="BA413" s="313"/>
      <c r="BG413" s="313"/>
      <c r="BX413" s="313"/>
      <c r="BY413" s="315"/>
    </row>
    <row r="414">
      <c r="BA414" s="313"/>
      <c r="BG414" s="313"/>
      <c r="BX414" s="313"/>
      <c r="BY414" s="315"/>
    </row>
    <row r="415">
      <c r="BA415" s="313"/>
      <c r="BG415" s="313"/>
      <c r="BX415" s="313"/>
      <c r="BY415" s="315"/>
    </row>
    <row r="416">
      <c r="BA416" s="313"/>
      <c r="BG416" s="313"/>
      <c r="BX416" s="313"/>
      <c r="BY416" s="315"/>
    </row>
    <row r="417">
      <c r="BA417" s="313"/>
      <c r="BG417" s="313"/>
      <c r="BX417" s="313"/>
      <c r="BY417" s="315"/>
    </row>
    <row r="418">
      <c r="BA418" s="313"/>
      <c r="BG418" s="313"/>
      <c r="BX418" s="313"/>
      <c r="BY418" s="315"/>
    </row>
    <row r="419">
      <c r="BA419" s="313"/>
      <c r="BG419" s="313"/>
      <c r="BX419" s="313"/>
      <c r="BY419" s="315"/>
    </row>
    <row r="420">
      <c r="BA420" s="313"/>
      <c r="BG420" s="313"/>
      <c r="BX420" s="313"/>
      <c r="BY420" s="315"/>
    </row>
    <row r="421">
      <c r="BA421" s="313"/>
      <c r="BG421" s="313"/>
      <c r="BX421" s="313"/>
      <c r="BY421" s="315"/>
    </row>
    <row r="422">
      <c r="BA422" s="313"/>
      <c r="BG422" s="313"/>
      <c r="BX422" s="313"/>
      <c r="BY422" s="315"/>
    </row>
    <row r="423">
      <c r="BA423" s="313"/>
      <c r="BG423" s="313"/>
      <c r="BX423" s="313"/>
      <c r="BY423" s="315"/>
    </row>
    <row r="424">
      <c r="BA424" s="313"/>
      <c r="BG424" s="313"/>
      <c r="BX424" s="313"/>
      <c r="BY424" s="315"/>
    </row>
    <row r="425">
      <c r="BA425" s="313"/>
      <c r="BG425" s="313"/>
      <c r="BX425" s="313"/>
      <c r="BY425" s="315"/>
    </row>
    <row r="426">
      <c r="BA426" s="313"/>
      <c r="BG426" s="313"/>
      <c r="BX426" s="313"/>
      <c r="BY426" s="315"/>
    </row>
    <row r="427">
      <c r="BA427" s="313"/>
      <c r="BG427" s="313"/>
      <c r="BX427" s="313"/>
      <c r="BY427" s="315"/>
    </row>
    <row r="428">
      <c r="BA428" s="313"/>
      <c r="BG428" s="313"/>
      <c r="BX428" s="313"/>
      <c r="BY428" s="315"/>
    </row>
    <row r="429">
      <c r="BA429" s="313"/>
      <c r="BG429" s="313"/>
      <c r="BX429" s="313"/>
      <c r="BY429" s="315"/>
    </row>
    <row r="430">
      <c r="BA430" s="313"/>
      <c r="BG430" s="313"/>
      <c r="BX430" s="313"/>
      <c r="BY430" s="315"/>
    </row>
    <row r="431">
      <c r="BA431" s="313"/>
      <c r="BG431" s="313"/>
      <c r="BX431" s="313"/>
      <c r="BY431" s="315"/>
    </row>
    <row r="432">
      <c r="BA432" s="313"/>
      <c r="BG432" s="313"/>
      <c r="BX432" s="313"/>
      <c r="BY432" s="315"/>
    </row>
    <row r="433">
      <c r="BA433" s="313"/>
      <c r="BG433" s="313"/>
      <c r="BX433" s="313"/>
      <c r="BY433" s="315"/>
    </row>
    <row r="434">
      <c r="BA434" s="313"/>
      <c r="BG434" s="313"/>
      <c r="BX434" s="313"/>
      <c r="BY434" s="315"/>
    </row>
    <row r="435">
      <c r="BA435" s="313"/>
      <c r="BG435" s="313"/>
      <c r="BX435" s="313"/>
      <c r="BY435" s="315"/>
    </row>
    <row r="436">
      <c r="BA436" s="313"/>
      <c r="BG436" s="313"/>
      <c r="BX436" s="313"/>
      <c r="BY436" s="315"/>
    </row>
    <row r="437">
      <c r="BA437" s="313"/>
      <c r="BG437" s="313"/>
      <c r="BX437" s="313"/>
      <c r="BY437" s="315"/>
    </row>
    <row r="438">
      <c r="BA438" s="313"/>
      <c r="BG438" s="313"/>
      <c r="BX438" s="313"/>
      <c r="BY438" s="315"/>
    </row>
    <row r="439">
      <c r="BA439" s="313"/>
      <c r="BG439" s="313"/>
      <c r="BX439" s="313"/>
      <c r="BY439" s="315"/>
    </row>
    <row r="440">
      <c r="BA440" s="313"/>
      <c r="BG440" s="313"/>
      <c r="BX440" s="313"/>
      <c r="BY440" s="315"/>
    </row>
    <row r="441">
      <c r="BA441" s="313"/>
      <c r="BG441" s="313"/>
      <c r="BX441" s="313"/>
      <c r="BY441" s="315"/>
    </row>
    <row r="442">
      <c r="BA442" s="313"/>
      <c r="BG442" s="313"/>
      <c r="BX442" s="313"/>
      <c r="BY442" s="315"/>
    </row>
    <row r="443">
      <c r="BA443" s="313"/>
      <c r="BG443" s="313"/>
      <c r="BX443" s="313"/>
      <c r="BY443" s="315"/>
    </row>
    <row r="444">
      <c r="BA444" s="313"/>
      <c r="BG444" s="313"/>
      <c r="BX444" s="313"/>
      <c r="BY444" s="315"/>
    </row>
    <row r="445">
      <c r="BA445" s="313"/>
      <c r="BG445" s="313"/>
      <c r="BX445" s="313"/>
      <c r="BY445" s="315"/>
    </row>
    <row r="446">
      <c r="BA446" s="313"/>
      <c r="BG446" s="313"/>
      <c r="BX446" s="313"/>
      <c r="BY446" s="315"/>
    </row>
    <row r="447">
      <c r="BA447" s="313"/>
      <c r="BG447" s="313"/>
      <c r="BX447" s="313"/>
      <c r="BY447" s="315"/>
    </row>
    <row r="448">
      <c r="BA448" s="313"/>
      <c r="BG448" s="313"/>
      <c r="BX448" s="313"/>
      <c r="BY448" s="315"/>
    </row>
    <row r="449">
      <c r="BA449" s="313"/>
      <c r="BG449" s="313"/>
      <c r="BX449" s="313"/>
      <c r="BY449" s="315"/>
    </row>
    <row r="450">
      <c r="BA450" s="313"/>
      <c r="BG450" s="313"/>
      <c r="BX450" s="313"/>
      <c r="BY450" s="315"/>
    </row>
    <row r="451">
      <c r="BA451" s="313"/>
      <c r="BG451" s="313"/>
      <c r="BX451" s="313"/>
      <c r="BY451" s="315"/>
    </row>
    <row r="452">
      <c r="BA452" s="313"/>
      <c r="BG452" s="313"/>
      <c r="BX452" s="313"/>
      <c r="BY452" s="315"/>
    </row>
    <row r="453">
      <c r="BA453" s="313"/>
      <c r="BG453" s="313"/>
      <c r="BX453" s="313"/>
      <c r="BY453" s="315"/>
    </row>
    <row r="454">
      <c r="BA454" s="313"/>
      <c r="BG454" s="313"/>
      <c r="BX454" s="313"/>
      <c r="BY454" s="315"/>
    </row>
    <row r="455">
      <c r="BA455" s="313"/>
      <c r="BG455" s="313"/>
      <c r="BX455" s="313"/>
      <c r="BY455" s="315"/>
    </row>
    <row r="456">
      <c r="BA456" s="313"/>
      <c r="BG456" s="313"/>
      <c r="BX456" s="313"/>
      <c r="BY456" s="315"/>
    </row>
    <row r="457">
      <c r="BA457" s="313"/>
      <c r="BG457" s="313"/>
      <c r="BX457" s="313"/>
      <c r="BY457" s="315"/>
    </row>
    <row r="458">
      <c r="BA458" s="313"/>
      <c r="BG458" s="313"/>
      <c r="BX458" s="313"/>
      <c r="BY458" s="315"/>
    </row>
    <row r="459">
      <c r="BA459" s="313"/>
      <c r="BG459" s="313"/>
      <c r="BX459" s="313"/>
      <c r="BY459" s="315"/>
    </row>
    <row r="460">
      <c r="BA460" s="313"/>
      <c r="BG460" s="313"/>
      <c r="BX460" s="313"/>
      <c r="BY460" s="315"/>
    </row>
    <row r="461">
      <c r="BA461" s="313"/>
      <c r="BG461" s="313"/>
      <c r="BX461" s="313"/>
      <c r="BY461" s="315"/>
    </row>
    <row r="462">
      <c r="BA462" s="313"/>
      <c r="BG462" s="313"/>
      <c r="BX462" s="313"/>
      <c r="BY462" s="315"/>
    </row>
    <row r="463">
      <c r="BA463" s="313"/>
      <c r="BG463" s="313"/>
      <c r="BX463" s="313"/>
      <c r="BY463" s="315"/>
    </row>
    <row r="464">
      <c r="BA464" s="313"/>
      <c r="BG464" s="313"/>
      <c r="BX464" s="313"/>
      <c r="BY464" s="315"/>
    </row>
    <row r="465">
      <c r="BA465" s="313"/>
      <c r="BG465" s="313"/>
      <c r="BX465" s="313"/>
      <c r="BY465" s="315"/>
    </row>
    <row r="466">
      <c r="BA466" s="313"/>
      <c r="BG466" s="313"/>
      <c r="BX466" s="313"/>
      <c r="BY466" s="315"/>
    </row>
    <row r="467">
      <c r="BA467" s="313"/>
      <c r="BG467" s="313"/>
      <c r="BX467" s="313"/>
      <c r="BY467" s="315"/>
    </row>
    <row r="468">
      <c r="BA468" s="313"/>
      <c r="BG468" s="313"/>
      <c r="BX468" s="313"/>
      <c r="BY468" s="315"/>
    </row>
    <row r="469">
      <c r="BA469" s="313"/>
      <c r="BG469" s="313"/>
      <c r="BX469" s="313"/>
      <c r="BY469" s="315"/>
    </row>
    <row r="470">
      <c r="BA470" s="313"/>
      <c r="BG470" s="313"/>
      <c r="BX470" s="313"/>
      <c r="BY470" s="315"/>
    </row>
    <row r="471">
      <c r="BA471" s="313"/>
      <c r="BG471" s="313"/>
      <c r="BX471" s="313"/>
      <c r="BY471" s="315"/>
    </row>
    <row r="472">
      <c r="BA472" s="313"/>
      <c r="BG472" s="313"/>
      <c r="BX472" s="313"/>
      <c r="BY472" s="315"/>
    </row>
    <row r="473">
      <c r="BA473" s="313"/>
      <c r="BG473" s="313"/>
      <c r="BX473" s="313"/>
      <c r="BY473" s="315"/>
    </row>
    <row r="474">
      <c r="BA474" s="313"/>
      <c r="BG474" s="313"/>
      <c r="BX474" s="313"/>
      <c r="BY474" s="315"/>
    </row>
    <row r="475">
      <c r="BA475" s="313"/>
      <c r="BG475" s="313"/>
      <c r="BX475" s="313"/>
      <c r="BY475" s="315"/>
    </row>
    <row r="476">
      <c r="BA476" s="313"/>
      <c r="BG476" s="313"/>
      <c r="BX476" s="313"/>
      <c r="BY476" s="315"/>
    </row>
    <row r="477">
      <c r="BA477" s="313"/>
      <c r="BG477" s="313"/>
      <c r="BX477" s="313"/>
      <c r="BY477" s="315"/>
    </row>
    <row r="478">
      <c r="BA478" s="313"/>
      <c r="BG478" s="313"/>
      <c r="BX478" s="313"/>
      <c r="BY478" s="315"/>
    </row>
    <row r="479">
      <c r="BA479" s="313"/>
      <c r="BG479" s="313"/>
      <c r="BX479" s="313"/>
      <c r="BY479" s="315"/>
    </row>
    <row r="480">
      <c r="BA480" s="313"/>
      <c r="BG480" s="313"/>
      <c r="BX480" s="313"/>
      <c r="BY480" s="315"/>
    </row>
    <row r="481">
      <c r="BA481" s="313"/>
      <c r="BG481" s="313"/>
      <c r="BX481" s="313"/>
      <c r="BY481" s="315"/>
    </row>
    <row r="482">
      <c r="BA482" s="313"/>
      <c r="BG482" s="313"/>
      <c r="BX482" s="313"/>
      <c r="BY482" s="315"/>
    </row>
    <row r="483">
      <c r="BA483" s="313"/>
      <c r="BG483" s="313"/>
      <c r="BX483" s="313"/>
      <c r="BY483" s="315"/>
    </row>
    <row r="484">
      <c r="BA484" s="313"/>
      <c r="BG484" s="313"/>
      <c r="BX484" s="313"/>
      <c r="BY484" s="315"/>
    </row>
    <row r="485">
      <c r="BA485" s="313"/>
      <c r="BG485" s="313"/>
      <c r="BX485" s="313"/>
      <c r="BY485" s="315"/>
    </row>
    <row r="486">
      <c r="BA486" s="313"/>
      <c r="BG486" s="313"/>
      <c r="BX486" s="313"/>
      <c r="BY486" s="315"/>
    </row>
    <row r="487">
      <c r="BA487" s="313"/>
      <c r="BG487" s="313"/>
      <c r="BX487" s="313"/>
      <c r="BY487" s="315"/>
    </row>
    <row r="488">
      <c r="BA488" s="313"/>
      <c r="BG488" s="313"/>
      <c r="BX488" s="313"/>
      <c r="BY488" s="315"/>
    </row>
    <row r="489">
      <c r="BA489" s="313"/>
      <c r="BG489" s="313"/>
      <c r="BX489" s="313"/>
      <c r="BY489" s="315"/>
    </row>
    <row r="490">
      <c r="BA490" s="313"/>
      <c r="BG490" s="313"/>
      <c r="BX490" s="313"/>
      <c r="BY490" s="315"/>
    </row>
    <row r="491">
      <c r="BA491" s="313"/>
      <c r="BG491" s="313"/>
      <c r="BX491" s="313"/>
      <c r="BY491" s="315"/>
    </row>
    <row r="492">
      <c r="BA492" s="313"/>
      <c r="BG492" s="313"/>
      <c r="BX492" s="313"/>
      <c r="BY492" s="315"/>
    </row>
    <row r="493">
      <c r="BA493" s="313"/>
      <c r="BG493" s="313"/>
      <c r="BX493" s="313"/>
      <c r="BY493" s="315"/>
    </row>
    <row r="494">
      <c r="BA494" s="313"/>
      <c r="BG494" s="313"/>
      <c r="BX494" s="313"/>
      <c r="BY494" s="315"/>
    </row>
    <row r="495">
      <c r="BA495" s="313"/>
      <c r="BG495" s="313"/>
      <c r="BX495" s="313"/>
      <c r="BY495" s="315"/>
    </row>
    <row r="496">
      <c r="BA496" s="313"/>
      <c r="BG496" s="313"/>
      <c r="BX496" s="313"/>
      <c r="BY496" s="315"/>
    </row>
    <row r="497">
      <c r="BA497" s="313"/>
      <c r="BG497" s="313"/>
      <c r="BX497" s="313"/>
      <c r="BY497" s="315"/>
    </row>
    <row r="498">
      <c r="BA498" s="313"/>
      <c r="BG498" s="313"/>
      <c r="BX498" s="313"/>
      <c r="BY498" s="315"/>
    </row>
    <row r="499">
      <c r="BA499" s="313"/>
      <c r="BG499" s="313"/>
      <c r="BX499" s="313"/>
      <c r="BY499" s="315"/>
    </row>
    <row r="500">
      <c r="BA500" s="313"/>
      <c r="BG500" s="313"/>
      <c r="BX500" s="313"/>
      <c r="BY500" s="315"/>
    </row>
    <row r="501">
      <c r="BA501" s="313"/>
      <c r="BG501" s="313"/>
      <c r="BX501" s="313"/>
      <c r="BY501" s="315"/>
    </row>
    <row r="502">
      <c r="BA502" s="313"/>
      <c r="BG502" s="313"/>
      <c r="BX502" s="313"/>
      <c r="BY502" s="315"/>
    </row>
    <row r="503">
      <c r="BA503" s="313"/>
      <c r="BG503" s="313"/>
      <c r="BX503" s="313"/>
      <c r="BY503" s="315"/>
    </row>
    <row r="504">
      <c r="BA504" s="313"/>
      <c r="BG504" s="313"/>
      <c r="BX504" s="313"/>
      <c r="BY504" s="315"/>
    </row>
    <row r="505">
      <c r="BA505" s="313"/>
      <c r="BG505" s="313"/>
      <c r="BX505" s="313"/>
      <c r="BY505" s="315"/>
    </row>
    <row r="506">
      <c r="BA506" s="313"/>
      <c r="BG506" s="313"/>
      <c r="BX506" s="313"/>
      <c r="BY506" s="315"/>
    </row>
    <row r="507">
      <c r="BA507" s="313"/>
      <c r="BG507" s="313"/>
      <c r="BX507" s="313"/>
      <c r="BY507" s="315"/>
    </row>
    <row r="508">
      <c r="BA508" s="313"/>
      <c r="BG508" s="313"/>
      <c r="BX508" s="313"/>
      <c r="BY508" s="315"/>
    </row>
    <row r="509">
      <c r="BA509" s="313"/>
      <c r="BG509" s="313"/>
      <c r="BX509" s="313"/>
      <c r="BY509" s="315"/>
    </row>
    <row r="510">
      <c r="BA510" s="313"/>
      <c r="BG510" s="313"/>
      <c r="BX510" s="313"/>
      <c r="BY510" s="315"/>
    </row>
    <row r="511">
      <c r="BA511" s="313"/>
      <c r="BG511" s="313"/>
      <c r="BX511" s="313"/>
      <c r="BY511" s="315"/>
    </row>
    <row r="512">
      <c r="BA512" s="313"/>
      <c r="BG512" s="313"/>
      <c r="BX512" s="313"/>
      <c r="BY512" s="315"/>
    </row>
    <row r="513">
      <c r="BA513" s="313"/>
      <c r="BG513" s="313"/>
      <c r="BX513" s="313"/>
      <c r="BY513" s="315"/>
    </row>
    <row r="514">
      <c r="BA514" s="313"/>
      <c r="BG514" s="313"/>
      <c r="BX514" s="313"/>
      <c r="BY514" s="315"/>
    </row>
    <row r="515">
      <c r="BA515" s="313"/>
      <c r="BG515" s="313"/>
      <c r="BX515" s="313"/>
      <c r="BY515" s="315"/>
    </row>
    <row r="516">
      <c r="BA516" s="313"/>
      <c r="BG516" s="313"/>
      <c r="BX516" s="313"/>
      <c r="BY516" s="315"/>
    </row>
    <row r="517">
      <c r="BA517" s="313"/>
      <c r="BG517" s="313"/>
      <c r="BX517" s="313"/>
      <c r="BY517" s="315"/>
    </row>
    <row r="518">
      <c r="BA518" s="313"/>
      <c r="BG518" s="313"/>
      <c r="BX518" s="313"/>
      <c r="BY518" s="315"/>
    </row>
    <row r="519">
      <c r="BA519" s="313"/>
      <c r="BG519" s="313"/>
      <c r="BX519" s="313"/>
      <c r="BY519" s="315"/>
    </row>
    <row r="520">
      <c r="BA520" s="313"/>
      <c r="BG520" s="313"/>
      <c r="BX520" s="313"/>
      <c r="BY520" s="315"/>
    </row>
    <row r="521">
      <c r="BA521" s="313"/>
      <c r="BG521" s="313"/>
      <c r="BX521" s="313"/>
      <c r="BY521" s="315"/>
    </row>
    <row r="522">
      <c r="BA522" s="313"/>
      <c r="BG522" s="313"/>
      <c r="BX522" s="313"/>
      <c r="BY522" s="315"/>
    </row>
    <row r="523">
      <c r="BA523" s="313"/>
      <c r="BG523" s="313"/>
      <c r="BX523" s="313"/>
      <c r="BY523" s="315"/>
    </row>
    <row r="524">
      <c r="BA524" s="313"/>
      <c r="BG524" s="313"/>
      <c r="BX524" s="313"/>
      <c r="BY524" s="315"/>
    </row>
    <row r="525">
      <c r="BA525" s="313"/>
      <c r="BG525" s="313"/>
      <c r="BX525" s="313"/>
      <c r="BY525" s="315"/>
    </row>
    <row r="526">
      <c r="BA526" s="313"/>
      <c r="BG526" s="313"/>
      <c r="BX526" s="313"/>
      <c r="BY526" s="315"/>
    </row>
    <row r="527">
      <c r="BA527" s="313"/>
      <c r="BG527" s="313"/>
      <c r="BX527" s="313"/>
      <c r="BY527" s="315"/>
    </row>
    <row r="528">
      <c r="BA528" s="313"/>
      <c r="BG528" s="313"/>
      <c r="BX528" s="313"/>
      <c r="BY528" s="315"/>
    </row>
    <row r="529">
      <c r="BA529" s="313"/>
      <c r="BG529" s="313"/>
      <c r="BX529" s="313"/>
      <c r="BY529" s="315"/>
    </row>
    <row r="530">
      <c r="BA530" s="313"/>
      <c r="BG530" s="313"/>
      <c r="BX530" s="313"/>
      <c r="BY530" s="315"/>
    </row>
    <row r="531">
      <c r="BA531" s="313"/>
      <c r="BG531" s="313"/>
      <c r="BX531" s="313"/>
      <c r="BY531" s="315"/>
    </row>
    <row r="532">
      <c r="BA532" s="313"/>
      <c r="BG532" s="313"/>
      <c r="BX532" s="313"/>
      <c r="BY532" s="315"/>
    </row>
    <row r="533">
      <c r="BA533" s="313"/>
      <c r="BG533" s="313"/>
      <c r="BX533" s="313"/>
      <c r="BY533" s="315"/>
    </row>
    <row r="534">
      <c r="BA534" s="313"/>
      <c r="BG534" s="313"/>
      <c r="BX534" s="313"/>
      <c r="BY534" s="315"/>
    </row>
    <row r="535">
      <c r="BA535" s="313"/>
      <c r="BG535" s="313"/>
      <c r="BX535" s="313"/>
      <c r="BY535" s="315"/>
    </row>
    <row r="536">
      <c r="BA536" s="313"/>
      <c r="BG536" s="313"/>
      <c r="BX536" s="313"/>
      <c r="BY536" s="315"/>
    </row>
    <row r="537">
      <c r="BA537" s="313"/>
      <c r="BG537" s="313"/>
      <c r="BX537" s="313"/>
      <c r="BY537" s="315"/>
    </row>
    <row r="538">
      <c r="BA538" s="313"/>
      <c r="BG538" s="313"/>
      <c r="BX538" s="313"/>
      <c r="BY538" s="315"/>
    </row>
    <row r="539">
      <c r="BA539" s="313"/>
      <c r="BG539" s="313"/>
      <c r="BX539" s="313"/>
      <c r="BY539" s="315"/>
    </row>
    <row r="540">
      <c r="BA540" s="313"/>
      <c r="BG540" s="313"/>
      <c r="BX540" s="313"/>
      <c r="BY540" s="315"/>
    </row>
    <row r="541">
      <c r="BA541" s="313"/>
      <c r="BG541" s="313"/>
      <c r="BX541" s="313"/>
      <c r="BY541" s="315"/>
    </row>
    <row r="542">
      <c r="BA542" s="313"/>
      <c r="BG542" s="313"/>
      <c r="BX542" s="313"/>
      <c r="BY542" s="315"/>
    </row>
    <row r="543">
      <c r="BA543" s="313"/>
      <c r="BG543" s="313"/>
      <c r="BX543" s="313"/>
      <c r="BY543" s="315"/>
    </row>
    <row r="544">
      <c r="BA544" s="313"/>
      <c r="BG544" s="313"/>
      <c r="BX544" s="313"/>
      <c r="BY544" s="315"/>
    </row>
    <row r="545">
      <c r="BA545" s="313"/>
      <c r="BG545" s="313"/>
      <c r="BX545" s="313"/>
      <c r="BY545" s="315"/>
    </row>
    <row r="546">
      <c r="BA546" s="313"/>
      <c r="BG546" s="313"/>
      <c r="BX546" s="313"/>
      <c r="BY546" s="315"/>
    </row>
    <row r="547">
      <c r="BA547" s="313"/>
      <c r="BG547" s="313"/>
      <c r="BX547" s="313"/>
      <c r="BY547" s="315"/>
    </row>
    <row r="548">
      <c r="BA548" s="313"/>
      <c r="BG548" s="313"/>
      <c r="BX548" s="313"/>
      <c r="BY548" s="315"/>
    </row>
    <row r="549">
      <c r="BA549" s="313"/>
      <c r="BG549" s="313"/>
      <c r="BX549" s="313"/>
      <c r="BY549" s="315"/>
    </row>
    <row r="550">
      <c r="BA550" s="313"/>
      <c r="BG550" s="313"/>
      <c r="BX550" s="313"/>
      <c r="BY550" s="315"/>
    </row>
    <row r="551">
      <c r="BA551" s="313"/>
      <c r="BG551" s="313"/>
      <c r="BX551" s="313"/>
      <c r="BY551" s="315"/>
    </row>
    <row r="552">
      <c r="BA552" s="313"/>
      <c r="BG552" s="313"/>
      <c r="BX552" s="313"/>
      <c r="BY552" s="315"/>
    </row>
    <row r="553">
      <c r="BA553" s="313"/>
      <c r="BG553" s="313"/>
      <c r="BX553" s="313"/>
      <c r="BY553" s="315"/>
    </row>
    <row r="554">
      <c r="BA554" s="313"/>
      <c r="BG554" s="313"/>
      <c r="BX554" s="313"/>
      <c r="BY554" s="315"/>
    </row>
    <row r="555">
      <c r="BA555" s="313"/>
      <c r="BG555" s="313"/>
      <c r="BX555" s="313"/>
      <c r="BY555" s="315"/>
    </row>
    <row r="556">
      <c r="BA556" s="313"/>
      <c r="BG556" s="313"/>
      <c r="BX556" s="313"/>
      <c r="BY556" s="315"/>
    </row>
    <row r="557">
      <c r="BA557" s="313"/>
      <c r="BG557" s="313"/>
      <c r="BX557" s="313"/>
      <c r="BY557" s="315"/>
    </row>
    <row r="558">
      <c r="BA558" s="313"/>
      <c r="BG558" s="313"/>
      <c r="BX558" s="313"/>
      <c r="BY558" s="315"/>
    </row>
    <row r="559">
      <c r="BA559" s="313"/>
      <c r="BG559" s="313"/>
      <c r="BX559" s="313"/>
      <c r="BY559" s="315"/>
    </row>
    <row r="560">
      <c r="BA560" s="313"/>
      <c r="BG560" s="313"/>
      <c r="BX560" s="313"/>
      <c r="BY560" s="315"/>
    </row>
    <row r="561">
      <c r="BA561" s="313"/>
      <c r="BG561" s="313"/>
      <c r="BX561" s="313"/>
      <c r="BY561" s="315"/>
    </row>
    <row r="562">
      <c r="BA562" s="313"/>
      <c r="BG562" s="313"/>
      <c r="BX562" s="313"/>
      <c r="BY562" s="315"/>
    </row>
    <row r="563">
      <c r="BA563" s="313"/>
      <c r="BG563" s="313"/>
      <c r="BX563" s="313"/>
      <c r="BY563" s="315"/>
    </row>
    <row r="564">
      <c r="BA564" s="313"/>
      <c r="BG564" s="313"/>
      <c r="BX564" s="313"/>
      <c r="BY564" s="315"/>
    </row>
    <row r="565">
      <c r="BA565" s="313"/>
      <c r="BG565" s="313"/>
      <c r="BX565" s="313"/>
      <c r="BY565" s="315"/>
    </row>
    <row r="566">
      <c r="BA566" s="313"/>
      <c r="BG566" s="313"/>
      <c r="BX566" s="313"/>
      <c r="BY566" s="315"/>
    </row>
    <row r="567">
      <c r="BA567" s="313"/>
      <c r="BG567" s="313"/>
      <c r="BX567" s="313"/>
      <c r="BY567" s="315"/>
    </row>
    <row r="568">
      <c r="BA568" s="313"/>
      <c r="BG568" s="313"/>
      <c r="BX568" s="313"/>
      <c r="BY568" s="315"/>
    </row>
    <row r="569">
      <c r="BA569" s="313"/>
      <c r="BG569" s="313"/>
      <c r="BX569" s="313"/>
      <c r="BY569" s="315"/>
    </row>
    <row r="570">
      <c r="BA570" s="313"/>
      <c r="BG570" s="313"/>
      <c r="BX570" s="313"/>
      <c r="BY570" s="315"/>
    </row>
    <row r="571">
      <c r="BA571" s="313"/>
      <c r="BG571" s="313"/>
      <c r="BX571" s="313"/>
      <c r="BY571" s="315"/>
    </row>
    <row r="572">
      <c r="BA572" s="313"/>
      <c r="BG572" s="313"/>
      <c r="BX572" s="313"/>
      <c r="BY572" s="315"/>
    </row>
    <row r="573">
      <c r="BA573" s="313"/>
      <c r="BG573" s="313"/>
      <c r="BX573" s="313"/>
      <c r="BY573" s="315"/>
    </row>
    <row r="574">
      <c r="BA574" s="313"/>
      <c r="BG574" s="313"/>
      <c r="BX574" s="313"/>
      <c r="BY574" s="315"/>
    </row>
    <row r="575">
      <c r="BA575" s="313"/>
      <c r="BG575" s="313"/>
      <c r="BX575" s="313"/>
      <c r="BY575" s="315"/>
    </row>
    <row r="576">
      <c r="BA576" s="313"/>
      <c r="BG576" s="313"/>
      <c r="BX576" s="313"/>
      <c r="BY576" s="315"/>
    </row>
    <row r="577">
      <c r="BA577" s="313"/>
      <c r="BG577" s="313"/>
      <c r="BX577" s="313"/>
      <c r="BY577" s="315"/>
    </row>
    <row r="578">
      <c r="BA578" s="313"/>
      <c r="BG578" s="313"/>
      <c r="BX578" s="313"/>
      <c r="BY578" s="315"/>
    </row>
    <row r="579">
      <c r="BA579" s="313"/>
      <c r="BG579" s="313"/>
      <c r="BX579" s="313"/>
      <c r="BY579" s="315"/>
    </row>
    <row r="580">
      <c r="BA580" s="313"/>
      <c r="BG580" s="313"/>
      <c r="BX580" s="313"/>
      <c r="BY580" s="315"/>
    </row>
    <row r="581">
      <c r="BA581" s="313"/>
      <c r="BG581" s="313"/>
      <c r="BX581" s="313"/>
      <c r="BY581" s="315"/>
    </row>
    <row r="582">
      <c r="BA582" s="313"/>
      <c r="BG582" s="313"/>
      <c r="BX582" s="313"/>
      <c r="BY582" s="315"/>
    </row>
    <row r="583">
      <c r="BA583" s="313"/>
      <c r="BG583" s="313"/>
      <c r="BX583" s="313"/>
      <c r="BY583" s="315"/>
    </row>
    <row r="584">
      <c r="BA584" s="313"/>
      <c r="BG584" s="313"/>
      <c r="BX584" s="313"/>
      <c r="BY584" s="315"/>
    </row>
    <row r="585">
      <c r="BA585" s="313"/>
      <c r="BG585" s="313"/>
      <c r="BX585" s="313"/>
      <c r="BY585" s="315"/>
    </row>
    <row r="586">
      <c r="BA586" s="313"/>
      <c r="BG586" s="313"/>
      <c r="BX586" s="313"/>
      <c r="BY586" s="315"/>
    </row>
    <row r="587">
      <c r="BA587" s="313"/>
      <c r="BG587" s="313"/>
      <c r="BX587" s="313"/>
      <c r="BY587" s="315"/>
    </row>
    <row r="588">
      <c r="BA588" s="313"/>
      <c r="BG588" s="313"/>
      <c r="BX588" s="313"/>
      <c r="BY588" s="315"/>
    </row>
    <row r="589">
      <c r="BA589" s="313"/>
      <c r="BG589" s="313"/>
      <c r="BX589" s="313"/>
      <c r="BY589" s="315"/>
    </row>
    <row r="590">
      <c r="BA590" s="313"/>
      <c r="BG590" s="313"/>
      <c r="BX590" s="313"/>
      <c r="BY590" s="315"/>
    </row>
    <row r="591">
      <c r="BA591" s="313"/>
      <c r="BG591" s="313"/>
      <c r="BX591" s="313"/>
      <c r="BY591" s="315"/>
    </row>
    <row r="592">
      <c r="BA592" s="313"/>
      <c r="BG592" s="313"/>
      <c r="BX592" s="313"/>
      <c r="BY592" s="315"/>
    </row>
    <row r="593">
      <c r="BA593" s="313"/>
      <c r="BG593" s="313"/>
      <c r="BX593" s="313"/>
      <c r="BY593" s="315"/>
    </row>
    <row r="594">
      <c r="BA594" s="313"/>
      <c r="BG594" s="313"/>
      <c r="BX594" s="313"/>
      <c r="BY594" s="315"/>
    </row>
    <row r="595">
      <c r="BA595" s="313"/>
      <c r="BG595" s="313"/>
      <c r="BX595" s="313"/>
      <c r="BY595" s="315"/>
    </row>
    <row r="596">
      <c r="BA596" s="313"/>
      <c r="BG596" s="313"/>
      <c r="BX596" s="313"/>
      <c r="BY596" s="315"/>
    </row>
    <row r="597">
      <c r="BA597" s="313"/>
      <c r="BG597" s="313"/>
      <c r="BX597" s="313"/>
      <c r="BY597" s="315"/>
    </row>
    <row r="598">
      <c r="BA598" s="313"/>
      <c r="BG598" s="313"/>
      <c r="BX598" s="313"/>
      <c r="BY598" s="315"/>
    </row>
    <row r="599">
      <c r="BA599" s="313"/>
      <c r="BG599" s="313"/>
      <c r="BX599" s="313"/>
      <c r="BY599" s="315"/>
    </row>
    <row r="600">
      <c r="BA600" s="313"/>
      <c r="BG600" s="313"/>
      <c r="BX600" s="313"/>
      <c r="BY600" s="315"/>
    </row>
    <row r="601">
      <c r="BA601" s="313"/>
      <c r="BG601" s="313"/>
      <c r="BX601" s="313"/>
      <c r="BY601" s="315"/>
    </row>
    <row r="602">
      <c r="BA602" s="313"/>
      <c r="BG602" s="313"/>
      <c r="BX602" s="313"/>
      <c r="BY602" s="315"/>
    </row>
    <row r="603">
      <c r="BA603" s="313"/>
      <c r="BG603" s="313"/>
      <c r="BX603" s="313"/>
      <c r="BY603" s="315"/>
    </row>
    <row r="604">
      <c r="BA604" s="313"/>
      <c r="BG604" s="313"/>
      <c r="BX604" s="313"/>
      <c r="BY604" s="315"/>
    </row>
    <row r="605">
      <c r="BA605" s="313"/>
      <c r="BG605" s="313"/>
      <c r="BX605" s="313"/>
      <c r="BY605" s="315"/>
    </row>
    <row r="606">
      <c r="BA606" s="313"/>
      <c r="BG606" s="313"/>
      <c r="BX606" s="313"/>
      <c r="BY606" s="315"/>
    </row>
    <row r="607">
      <c r="BA607" s="313"/>
      <c r="BG607" s="313"/>
      <c r="BX607" s="313"/>
      <c r="BY607" s="315"/>
    </row>
    <row r="608">
      <c r="BA608" s="313"/>
      <c r="BG608" s="313"/>
      <c r="BX608" s="313"/>
      <c r="BY608" s="315"/>
    </row>
    <row r="609">
      <c r="BA609" s="313"/>
      <c r="BG609" s="313"/>
      <c r="BX609" s="313"/>
      <c r="BY609" s="315"/>
    </row>
    <row r="610">
      <c r="BA610" s="313"/>
      <c r="BG610" s="313"/>
      <c r="BX610" s="313"/>
      <c r="BY610" s="315"/>
    </row>
    <row r="611">
      <c r="BA611" s="313"/>
      <c r="BG611" s="313"/>
      <c r="BX611" s="313"/>
      <c r="BY611" s="315"/>
    </row>
    <row r="612">
      <c r="BA612" s="313"/>
      <c r="BG612" s="313"/>
      <c r="BX612" s="313"/>
      <c r="BY612" s="315"/>
    </row>
    <row r="613">
      <c r="BA613" s="313"/>
      <c r="BG613" s="313"/>
      <c r="BX613" s="313"/>
      <c r="BY613" s="315"/>
    </row>
    <row r="614">
      <c r="BA614" s="313"/>
      <c r="BG614" s="313"/>
      <c r="BX614" s="313"/>
      <c r="BY614" s="315"/>
    </row>
    <row r="615">
      <c r="BA615" s="313"/>
      <c r="BG615" s="313"/>
      <c r="BX615" s="313"/>
      <c r="BY615" s="315"/>
    </row>
    <row r="616">
      <c r="BA616" s="313"/>
      <c r="BG616" s="313"/>
      <c r="BX616" s="313"/>
      <c r="BY616" s="315"/>
    </row>
    <row r="617">
      <c r="BA617" s="313"/>
      <c r="BG617" s="313"/>
      <c r="BX617" s="313"/>
      <c r="BY617" s="315"/>
    </row>
    <row r="618">
      <c r="BA618" s="313"/>
      <c r="BG618" s="313"/>
      <c r="BX618" s="313"/>
      <c r="BY618" s="315"/>
    </row>
    <row r="619">
      <c r="BA619" s="313"/>
      <c r="BG619" s="313"/>
      <c r="BX619" s="313"/>
      <c r="BY619" s="315"/>
    </row>
    <row r="620">
      <c r="BA620" s="313"/>
      <c r="BG620" s="313"/>
      <c r="BX620" s="313"/>
      <c r="BY620" s="315"/>
    </row>
    <row r="621">
      <c r="BA621" s="313"/>
      <c r="BG621" s="313"/>
      <c r="BX621" s="313"/>
      <c r="BY621" s="315"/>
    </row>
    <row r="622">
      <c r="BA622" s="313"/>
      <c r="BG622" s="313"/>
      <c r="BX622" s="313"/>
      <c r="BY622" s="315"/>
    </row>
    <row r="623">
      <c r="BA623" s="313"/>
      <c r="BG623" s="313"/>
      <c r="BX623" s="313"/>
      <c r="BY623" s="315"/>
    </row>
    <row r="624">
      <c r="BA624" s="313"/>
      <c r="BG624" s="313"/>
      <c r="BX624" s="313"/>
      <c r="BY624" s="315"/>
    </row>
    <row r="625">
      <c r="BA625" s="313"/>
      <c r="BG625" s="313"/>
      <c r="BX625" s="313"/>
      <c r="BY625" s="315"/>
    </row>
    <row r="626">
      <c r="BA626" s="313"/>
      <c r="BG626" s="313"/>
      <c r="BX626" s="313"/>
      <c r="BY626" s="315"/>
    </row>
    <row r="627">
      <c r="BA627" s="313"/>
      <c r="BG627" s="313"/>
      <c r="BX627" s="313"/>
      <c r="BY627" s="315"/>
    </row>
    <row r="628">
      <c r="BA628" s="313"/>
      <c r="BG628" s="313"/>
      <c r="BX628" s="313"/>
      <c r="BY628" s="315"/>
    </row>
    <row r="629">
      <c r="BA629" s="313"/>
      <c r="BG629" s="313"/>
      <c r="BX629" s="313"/>
      <c r="BY629" s="315"/>
    </row>
    <row r="630">
      <c r="BA630" s="313"/>
      <c r="BG630" s="313"/>
      <c r="BX630" s="313"/>
      <c r="BY630" s="315"/>
    </row>
    <row r="631">
      <c r="BA631" s="313"/>
      <c r="BG631" s="313"/>
      <c r="BX631" s="313"/>
      <c r="BY631" s="315"/>
    </row>
    <row r="632">
      <c r="BA632" s="313"/>
      <c r="BG632" s="313"/>
      <c r="BX632" s="313"/>
      <c r="BY632" s="315"/>
    </row>
    <row r="633">
      <c r="BA633" s="313"/>
      <c r="BG633" s="313"/>
      <c r="BX633" s="313"/>
      <c r="BY633" s="315"/>
    </row>
    <row r="634">
      <c r="BA634" s="313"/>
      <c r="BG634" s="313"/>
      <c r="BX634" s="313"/>
      <c r="BY634" s="315"/>
    </row>
    <row r="635">
      <c r="BA635" s="313"/>
      <c r="BG635" s="313"/>
      <c r="BX635" s="313"/>
      <c r="BY635" s="315"/>
    </row>
    <row r="636">
      <c r="BA636" s="313"/>
      <c r="BG636" s="313"/>
      <c r="BX636" s="313"/>
      <c r="BY636" s="315"/>
    </row>
    <row r="637">
      <c r="BA637" s="313"/>
      <c r="BG637" s="313"/>
      <c r="BX637" s="313"/>
      <c r="BY637" s="315"/>
    </row>
    <row r="638">
      <c r="BA638" s="313"/>
      <c r="BG638" s="313"/>
      <c r="BX638" s="313"/>
      <c r="BY638" s="315"/>
    </row>
    <row r="639">
      <c r="BA639" s="313"/>
      <c r="BG639" s="313"/>
      <c r="BX639" s="313"/>
      <c r="BY639" s="315"/>
    </row>
    <row r="640">
      <c r="BA640" s="313"/>
      <c r="BG640" s="313"/>
      <c r="BX640" s="313"/>
      <c r="BY640" s="315"/>
    </row>
    <row r="641">
      <c r="BA641" s="313"/>
      <c r="BG641" s="313"/>
      <c r="BX641" s="313"/>
      <c r="BY641" s="315"/>
    </row>
    <row r="642">
      <c r="BA642" s="313"/>
      <c r="BG642" s="313"/>
      <c r="BX642" s="313"/>
      <c r="BY642" s="315"/>
    </row>
    <row r="643">
      <c r="BA643" s="313"/>
      <c r="BG643" s="313"/>
      <c r="BX643" s="313"/>
      <c r="BY643" s="315"/>
    </row>
    <row r="644">
      <c r="BA644" s="313"/>
      <c r="BG644" s="313"/>
      <c r="BX644" s="313"/>
      <c r="BY644" s="315"/>
    </row>
    <row r="645">
      <c r="BA645" s="313"/>
      <c r="BG645" s="313"/>
      <c r="BX645" s="313"/>
      <c r="BY645" s="315"/>
    </row>
    <row r="646">
      <c r="BA646" s="313"/>
      <c r="BG646" s="313"/>
      <c r="BX646" s="313"/>
      <c r="BY646" s="315"/>
    </row>
    <row r="647">
      <c r="BA647" s="313"/>
      <c r="BG647" s="313"/>
      <c r="BX647" s="313"/>
      <c r="BY647" s="315"/>
    </row>
    <row r="648">
      <c r="BA648" s="313"/>
      <c r="BG648" s="313"/>
      <c r="BX648" s="313"/>
      <c r="BY648" s="315"/>
    </row>
    <row r="649">
      <c r="BA649" s="313"/>
      <c r="BG649" s="313"/>
      <c r="BX649" s="313"/>
      <c r="BY649" s="315"/>
    </row>
    <row r="650">
      <c r="BA650" s="313"/>
      <c r="BG650" s="313"/>
      <c r="BX650" s="313"/>
      <c r="BY650" s="315"/>
    </row>
    <row r="651">
      <c r="BA651" s="313"/>
      <c r="BG651" s="313"/>
      <c r="BX651" s="313"/>
      <c r="BY651" s="315"/>
    </row>
    <row r="652">
      <c r="BA652" s="313"/>
      <c r="BG652" s="313"/>
      <c r="BX652" s="313"/>
      <c r="BY652" s="315"/>
    </row>
    <row r="653">
      <c r="BA653" s="313"/>
      <c r="BG653" s="313"/>
      <c r="BX653" s="313"/>
      <c r="BY653" s="315"/>
    </row>
    <row r="654">
      <c r="BA654" s="313"/>
      <c r="BG654" s="313"/>
      <c r="BX654" s="313"/>
      <c r="BY654" s="315"/>
    </row>
    <row r="655">
      <c r="BA655" s="313"/>
      <c r="BG655" s="313"/>
      <c r="BX655" s="313"/>
      <c r="BY655" s="315"/>
    </row>
    <row r="656">
      <c r="BA656" s="313"/>
      <c r="BG656" s="313"/>
      <c r="BX656" s="313"/>
      <c r="BY656" s="315"/>
    </row>
    <row r="657">
      <c r="BA657" s="313"/>
      <c r="BG657" s="313"/>
      <c r="BX657" s="313"/>
      <c r="BY657" s="315"/>
    </row>
    <row r="658">
      <c r="BA658" s="313"/>
      <c r="BG658" s="313"/>
      <c r="BX658" s="313"/>
      <c r="BY658" s="315"/>
    </row>
    <row r="659">
      <c r="BA659" s="313"/>
      <c r="BG659" s="313"/>
      <c r="BX659" s="313"/>
      <c r="BY659" s="315"/>
    </row>
    <row r="660">
      <c r="BA660" s="313"/>
      <c r="BG660" s="313"/>
      <c r="BX660" s="313"/>
      <c r="BY660" s="315"/>
    </row>
    <row r="661">
      <c r="BA661" s="313"/>
      <c r="BG661" s="313"/>
      <c r="BX661" s="313"/>
      <c r="BY661" s="315"/>
    </row>
    <row r="662">
      <c r="BA662" s="313"/>
      <c r="BG662" s="313"/>
      <c r="BX662" s="313"/>
      <c r="BY662" s="315"/>
    </row>
    <row r="663">
      <c r="BA663" s="313"/>
      <c r="BG663" s="313"/>
      <c r="BX663" s="313"/>
      <c r="BY663" s="315"/>
    </row>
    <row r="664">
      <c r="BA664" s="313"/>
      <c r="BG664" s="313"/>
      <c r="BX664" s="313"/>
      <c r="BY664" s="315"/>
    </row>
    <row r="665">
      <c r="BA665" s="313"/>
      <c r="BG665" s="313"/>
      <c r="BX665" s="313"/>
      <c r="BY665" s="315"/>
    </row>
    <row r="666">
      <c r="BA666" s="313"/>
      <c r="BG666" s="313"/>
      <c r="BX666" s="313"/>
      <c r="BY666" s="315"/>
    </row>
    <row r="667">
      <c r="BA667" s="313"/>
      <c r="BG667" s="313"/>
      <c r="BX667" s="313"/>
      <c r="BY667" s="315"/>
    </row>
    <row r="668">
      <c r="BA668" s="313"/>
      <c r="BG668" s="313"/>
      <c r="BX668" s="313"/>
      <c r="BY668" s="315"/>
    </row>
    <row r="669">
      <c r="BA669" s="313"/>
      <c r="BG669" s="313"/>
      <c r="BX669" s="313"/>
      <c r="BY669" s="315"/>
    </row>
    <row r="670">
      <c r="BA670" s="313"/>
      <c r="BG670" s="313"/>
      <c r="BX670" s="313"/>
      <c r="BY670" s="315"/>
    </row>
    <row r="671">
      <c r="BA671" s="313"/>
      <c r="BG671" s="313"/>
      <c r="BX671" s="313"/>
      <c r="BY671" s="315"/>
    </row>
    <row r="672">
      <c r="BA672" s="313"/>
      <c r="BG672" s="313"/>
      <c r="BX672" s="313"/>
      <c r="BY672" s="315"/>
    </row>
    <row r="673">
      <c r="BA673" s="313"/>
      <c r="BG673" s="313"/>
      <c r="BX673" s="313"/>
      <c r="BY673" s="315"/>
    </row>
    <row r="674">
      <c r="BA674" s="313"/>
      <c r="BG674" s="313"/>
      <c r="BX674" s="313"/>
      <c r="BY674" s="315"/>
    </row>
    <row r="675">
      <c r="BA675" s="313"/>
      <c r="BG675" s="313"/>
      <c r="BX675" s="313"/>
      <c r="BY675" s="315"/>
    </row>
    <row r="676">
      <c r="BA676" s="313"/>
      <c r="BG676" s="313"/>
      <c r="BX676" s="313"/>
      <c r="BY676" s="315"/>
    </row>
    <row r="677">
      <c r="BA677" s="313"/>
      <c r="BG677" s="313"/>
      <c r="BX677" s="313"/>
      <c r="BY677" s="315"/>
    </row>
    <row r="678">
      <c r="BA678" s="313"/>
      <c r="BG678" s="313"/>
      <c r="BX678" s="313"/>
      <c r="BY678" s="315"/>
    </row>
    <row r="679">
      <c r="BA679" s="313"/>
      <c r="BG679" s="313"/>
      <c r="BX679" s="313"/>
      <c r="BY679" s="315"/>
    </row>
    <row r="680">
      <c r="BA680" s="313"/>
      <c r="BG680" s="313"/>
      <c r="BX680" s="313"/>
      <c r="BY680" s="315"/>
    </row>
    <row r="681">
      <c r="BA681" s="313"/>
      <c r="BG681" s="313"/>
      <c r="BX681" s="313"/>
      <c r="BY681" s="315"/>
    </row>
    <row r="682">
      <c r="BA682" s="313"/>
      <c r="BG682" s="313"/>
      <c r="BX682" s="313"/>
      <c r="BY682" s="315"/>
    </row>
    <row r="683">
      <c r="BA683" s="313"/>
      <c r="BG683" s="313"/>
      <c r="BX683" s="313"/>
      <c r="BY683" s="315"/>
    </row>
    <row r="684">
      <c r="BA684" s="313"/>
      <c r="BG684" s="313"/>
      <c r="BX684" s="313"/>
      <c r="BY684" s="315"/>
    </row>
    <row r="685">
      <c r="BA685" s="313"/>
      <c r="BG685" s="313"/>
      <c r="BX685" s="313"/>
      <c r="BY685" s="315"/>
    </row>
    <row r="686">
      <c r="BA686" s="313"/>
      <c r="BG686" s="313"/>
      <c r="BX686" s="313"/>
      <c r="BY686" s="315"/>
    </row>
    <row r="687">
      <c r="BA687" s="313"/>
      <c r="BG687" s="313"/>
      <c r="BX687" s="313"/>
      <c r="BY687" s="315"/>
    </row>
    <row r="688">
      <c r="BA688" s="313"/>
      <c r="BG688" s="313"/>
      <c r="BX688" s="313"/>
      <c r="BY688" s="315"/>
    </row>
    <row r="689">
      <c r="BA689" s="313"/>
      <c r="BG689" s="313"/>
      <c r="BX689" s="313"/>
      <c r="BY689" s="315"/>
    </row>
    <row r="690">
      <c r="BA690" s="313"/>
      <c r="BG690" s="313"/>
      <c r="BX690" s="313"/>
      <c r="BY690" s="315"/>
    </row>
    <row r="691">
      <c r="BA691" s="313"/>
      <c r="BG691" s="313"/>
      <c r="BX691" s="313"/>
      <c r="BY691" s="315"/>
    </row>
    <row r="692">
      <c r="BA692" s="313"/>
      <c r="BG692" s="313"/>
      <c r="BX692" s="313"/>
      <c r="BY692" s="315"/>
    </row>
    <row r="693">
      <c r="BA693" s="313"/>
      <c r="BG693" s="313"/>
      <c r="BX693" s="313"/>
      <c r="BY693" s="315"/>
    </row>
    <row r="694">
      <c r="BA694" s="313"/>
      <c r="BG694" s="313"/>
      <c r="BX694" s="313"/>
      <c r="BY694" s="315"/>
    </row>
    <row r="695">
      <c r="BA695" s="313"/>
      <c r="BG695" s="313"/>
      <c r="BX695" s="313"/>
      <c r="BY695" s="315"/>
    </row>
    <row r="696">
      <c r="BA696" s="313"/>
      <c r="BG696" s="313"/>
      <c r="BX696" s="313"/>
      <c r="BY696" s="315"/>
    </row>
    <row r="697">
      <c r="BA697" s="313"/>
      <c r="BG697" s="313"/>
      <c r="BX697" s="313"/>
      <c r="BY697" s="315"/>
    </row>
    <row r="698">
      <c r="BA698" s="313"/>
      <c r="BG698" s="313"/>
      <c r="BX698" s="313"/>
      <c r="BY698" s="315"/>
    </row>
    <row r="699">
      <c r="BA699" s="313"/>
      <c r="BG699" s="313"/>
      <c r="BX699" s="313"/>
      <c r="BY699" s="315"/>
    </row>
    <row r="700">
      <c r="BA700" s="313"/>
      <c r="BG700" s="313"/>
      <c r="BX700" s="313"/>
      <c r="BY700" s="315"/>
    </row>
    <row r="701">
      <c r="BA701" s="313"/>
      <c r="BG701" s="313"/>
      <c r="BX701" s="313"/>
      <c r="BY701" s="315"/>
    </row>
    <row r="702">
      <c r="BA702" s="313"/>
      <c r="BG702" s="313"/>
      <c r="BX702" s="313"/>
      <c r="BY702" s="315"/>
    </row>
    <row r="703">
      <c r="BA703" s="313"/>
      <c r="BG703" s="313"/>
      <c r="BX703" s="313"/>
      <c r="BY703" s="315"/>
    </row>
    <row r="704">
      <c r="BA704" s="313"/>
      <c r="BG704" s="313"/>
      <c r="BX704" s="313"/>
      <c r="BY704" s="315"/>
    </row>
    <row r="705">
      <c r="BA705" s="313"/>
      <c r="BG705" s="313"/>
      <c r="BX705" s="313"/>
      <c r="BY705" s="315"/>
    </row>
    <row r="706">
      <c r="BA706" s="313"/>
      <c r="BG706" s="313"/>
      <c r="BX706" s="313"/>
      <c r="BY706" s="315"/>
    </row>
    <row r="707">
      <c r="BA707" s="313"/>
      <c r="BG707" s="313"/>
      <c r="BX707" s="313"/>
      <c r="BY707" s="315"/>
    </row>
    <row r="708">
      <c r="BA708" s="313"/>
      <c r="BG708" s="313"/>
      <c r="BX708" s="313"/>
      <c r="BY708" s="315"/>
    </row>
    <row r="709">
      <c r="BA709" s="313"/>
      <c r="BG709" s="313"/>
      <c r="BX709" s="313"/>
      <c r="BY709" s="315"/>
    </row>
    <row r="710">
      <c r="BA710" s="313"/>
      <c r="BG710" s="313"/>
      <c r="BX710" s="313"/>
      <c r="BY710" s="315"/>
    </row>
    <row r="711">
      <c r="BA711" s="313"/>
      <c r="BG711" s="313"/>
      <c r="BX711" s="313"/>
      <c r="BY711" s="315"/>
    </row>
    <row r="712">
      <c r="BA712" s="313"/>
      <c r="BG712" s="313"/>
      <c r="BX712" s="313"/>
      <c r="BY712" s="315"/>
    </row>
    <row r="713">
      <c r="BA713" s="313"/>
      <c r="BG713" s="313"/>
      <c r="BX713" s="313"/>
      <c r="BY713" s="315"/>
    </row>
    <row r="714">
      <c r="BA714" s="313"/>
      <c r="BG714" s="313"/>
      <c r="BX714" s="313"/>
      <c r="BY714" s="315"/>
    </row>
    <row r="715">
      <c r="BA715" s="313"/>
      <c r="BG715" s="313"/>
      <c r="BX715" s="313"/>
      <c r="BY715" s="315"/>
    </row>
    <row r="716">
      <c r="BA716" s="313"/>
      <c r="BG716" s="313"/>
      <c r="BX716" s="313"/>
      <c r="BY716" s="315"/>
    </row>
    <row r="717">
      <c r="BA717" s="313"/>
      <c r="BG717" s="313"/>
      <c r="BX717" s="313"/>
      <c r="BY717" s="315"/>
    </row>
    <row r="718">
      <c r="BA718" s="313"/>
      <c r="BG718" s="313"/>
      <c r="BX718" s="313"/>
      <c r="BY718" s="315"/>
    </row>
    <row r="719">
      <c r="BA719" s="313"/>
      <c r="BG719" s="313"/>
      <c r="BX719" s="313"/>
      <c r="BY719" s="315"/>
    </row>
    <row r="720">
      <c r="BA720" s="313"/>
      <c r="BG720" s="313"/>
      <c r="BX720" s="313"/>
      <c r="BY720" s="315"/>
    </row>
    <row r="721">
      <c r="BA721" s="313"/>
      <c r="BG721" s="313"/>
      <c r="BX721" s="313"/>
      <c r="BY721" s="315"/>
    </row>
    <row r="722">
      <c r="BA722" s="313"/>
      <c r="BG722" s="313"/>
      <c r="BX722" s="313"/>
      <c r="BY722" s="315"/>
    </row>
    <row r="723">
      <c r="BA723" s="313"/>
      <c r="BG723" s="313"/>
      <c r="BX723" s="313"/>
      <c r="BY723" s="315"/>
    </row>
    <row r="724">
      <c r="BA724" s="313"/>
      <c r="BG724" s="313"/>
      <c r="BX724" s="313"/>
      <c r="BY724" s="315"/>
    </row>
    <row r="725">
      <c r="BA725" s="313"/>
      <c r="BG725" s="313"/>
      <c r="BX725" s="313"/>
      <c r="BY725" s="315"/>
    </row>
    <row r="726">
      <c r="BA726" s="313"/>
      <c r="BG726" s="313"/>
      <c r="BX726" s="313"/>
      <c r="BY726" s="315"/>
    </row>
    <row r="727">
      <c r="BA727" s="313"/>
      <c r="BG727" s="313"/>
      <c r="BX727" s="313"/>
      <c r="BY727" s="315"/>
    </row>
    <row r="728">
      <c r="BA728" s="313"/>
      <c r="BG728" s="313"/>
      <c r="BX728" s="313"/>
      <c r="BY728" s="315"/>
    </row>
    <row r="729">
      <c r="BA729" s="313"/>
      <c r="BG729" s="313"/>
      <c r="BX729" s="313"/>
      <c r="BY729" s="315"/>
    </row>
    <row r="730">
      <c r="BA730" s="313"/>
      <c r="BG730" s="313"/>
      <c r="BX730" s="313"/>
      <c r="BY730" s="315"/>
    </row>
    <row r="731">
      <c r="BA731" s="313"/>
      <c r="BG731" s="313"/>
      <c r="BX731" s="313"/>
      <c r="BY731" s="315"/>
    </row>
    <row r="732">
      <c r="BA732" s="313"/>
      <c r="BG732" s="313"/>
      <c r="BX732" s="313"/>
      <c r="BY732" s="315"/>
    </row>
    <row r="733">
      <c r="BA733" s="313"/>
      <c r="BG733" s="313"/>
      <c r="BX733" s="313"/>
      <c r="BY733" s="315"/>
    </row>
    <row r="734">
      <c r="BA734" s="313"/>
      <c r="BG734" s="313"/>
      <c r="BX734" s="313"/>
      <c r="BY734" s="315"/>
    </row>
    <row r="735">
      <c r="BA735" s="313"/>
      <c r="BG735" s="313"/>
      <c r="BX735" s="313"/>
      <c r="BY735" s="315"/>
    </row>
    <row r="736">
      <c r="BA736" s="313"/>
      <c r="BG736" s="313"/>
      <c r="BX736" s="313"/>
      <c r="BY736" s="315"/>
    </row>
    <row r="737">
      <c r="BA737" s="313"/>
      <c r="BG737" s="313"/>
      <c r="BX737" s="313"/>
      <c r="BY737" s="315"/>
    </row>
    <row r="738">
      <c r="BA738" s="313"/>
      <c r="BG738" s="313"/>
      <c r="BX738" s="313"/>
      <c r="BY738" s="315"/>
    </row>
    <row r="739">
      <c r="BA739" s="313"/>
      <c r="BG739" s="313"/>
      <c r="BX739" s="313"/>
      <c r="BY739" s="315"/>
    </row>
    <row r="740">
      <c r="BA740" s="313"/>
      <c r="BG740" s="313"/>
      <c r="BX740" s="313"/>
      <c r="BY740" s="315"/>
    </row>
    <row r="741">
      <c r="BA741" s="313"/>
      <c r="BG741" s="313"/>
      <c r="BX741" s="313"/>
      <c r="BY741" s="315"/>
    </row>
    <row r="742">
      <c r="BA742" s="313"/>
      <c r="BG742" s="313"/>
      <c r="BX742" s="313"/>
      <c r="BY742" s="315"/>
    </row>
    <row r="743">
      <c r="BA743" s="313"/>
      <c r="BG743" s="313"/>
      <c r="BX743" s="313"/>
      <c r="BY743" s="315"/>
    </row>
    <row r="744">
      <c r="BA744" s="313"/>
      <c r="BG744" s="313"/>
      <c r="BX744" s="313"/>
      <c r="BY744" s="315"/>
    </row>
    <row r="745">
      <c r="BA745" s="313"/>
      <c r="BG745" s="313"/>
      <c r="BX745" s="313"/>
      <c r="BY745" s="315"/>
    </row>
    <row r="746">
      <c r="BA746" s="313"/>
      <c r="BG746" s="313"/>
      <c r="BX746" s="313"/>
      <c r="BY746" s="315"/>
    </row>
    <row r="747">
      <c r="BA747" s="313"/>
      <c r="BG747" s="313"/>
      <c r="BX747" s="313"/>
      <c r="BY747" s="315"/>
    </row>
    <row r="748">
      <c r="BA748" s="313"/>
      <c r="BG748" s="313"/>
      <c r="BX748" s="313"/>
      <c r="BY748" s="315"/>
    </row>
    <row r="749">
      <c r="BA749" s="313"/>
      <c r="BG749" s="313"/>
      <c r="BX749" s="313"/>
      <c r="BY749" s="315"/>
    </row>
    <row r="750">
      <c r="BA750" s="313"/>
      <c r="BG750" s="313"/>
      <c r="BX750" s="313"/>
      <c r="BY750" s="315"/>
    </row>
    <row r="751">
      <c r="BA751" s="313"/>
      <c r="BG751" s="313"/>
      <c r="BX751" s="313"/>
      <c r="BY751" s="315"/>
    </row>
    <row r="752">
      <c r="BA752" s="313"/>
      <c r="BG752" s="313"/>
      <c r="BX752" s="313"/>
      <c r="BY752" s="315"/>
    </row>
    <row r="753">
      <c r="BA753" s="313"/>
      <c r="BG753" s="313"/>
      <c r="BX753" s="313"/>
      <c r="BY753" s="315"/>
    </row>
    <row r="754">
      <c r="BA754" s="313"/>
      <c r="BG754" s="313"/>
      <c r="BX754" s="313"/>
      <c r="BY754" s="315"/>
    </row>
    <row r="755">
      <c r="BA755" s="313"/>
      <c r="BG755" s="313"/>
      <c r="BX755" s="313"/>
      <c r="BY755" s="315"/>
    </row>
    <row r="756">
      <c r="BA756" s="313"/>
      <c r="BG756" s="313"/>
      <c r="BX756" s="313"/>
      <c r="BY756" s="315"/>
    </row>
    <row r="757">
      <c r="BA757" s="313"/>
      <c r="BG757" s="313"/>
      <c r="BX757" s="313"/>
      <c r="BY757" s="315"/>
    </row>
    <row r="758">
      <c r="BA758" s="313"/>
      <c r="BG758" s="313"/>
      <c r="BX758" s="313"/>
      <c r="BY758" s="315"/>
    </row>
    <row r="759">
      <c r="BA759" s="313"/>
      <c r="BG759" s="313"/>
      <c r="BX759" s="313"/>
      <c r="BY759" s="315"/>
    </row>
    <row r="760">
      <c r="BA760" s="313"/>
      <c r="BG760" s="313"/>
      <c r="BX760" s="313"/>
      <c r="BY760" s="315"/>
    </row>
    <row r="761">
      <c r="BA761" s="313"/>
      <c r="BG761" s="313"/>
      <c r="BX761" s="313"/>
      <c r="BY761" s="315"/>
    </row>
    <row r="762">
      <c r="BA762" s="313"/>
      <c r="BG762" s="313"/>
      <c r="BX762" s="313"/>
      <c r="BY762" s="315"/>
    </row>
    <row r="763">
      <c r="BA763" s="313"/>
      <c r="BG763" s="313"/>
      <c r="BX763" s="313"/>
      <c r="BY763" s="315"/>
    </row>
    <row r="764">
      <c r="BA764" s="313"/>
      <c r="BG764" s="313"/>
      <c r="BX764" s="313"/>
      <c r="BY764" s="315"/>
    </row>
    <row r="765">
      <c r="BA765" s="313"/>
      <c r="BG765" s="313"/>
      <c r="BX765" s="313"/>
      <c r="BY765" s="315"/>
    </row>
    <row r="766">
      <c r="BA766" s="313"/>
      <c r="BG766" s="313"/>
      <c r="BX766" s="313"/>
      <c r="BY766" s="315"/>
    </row>
    <row r="767">
      <c r="BA767" s="313"/>
      <c r="BG767" s="313"/>
      <c r="BX767" s="313"/>
      <c r="BY767" s="315"/>
    </row>
    <row r="768">
      <c r="BA768" s="313"/>
      <c r="BG768" s="313"/>
      <c r="BX768" s="313"/>
      <c r="BY768" s="315"/>
    </row>
    <row r="769">
      <c r="BA769" s="313"/>
      <c r="BG769" s="313"/>
      <c r="BX769" s="313"/>
      <c r="BY769" s="315"/>
    </row>
    <row r="770">
      <c r="BA770" s="313"/>
      <c r="BG770" s="313"/>
      <c r="BX770" s="313"/>
      <c r="BY770" s="315"/>
    </row>
    <row r="771">
      <c r="BA771" s="313"/>
      <c r="BG771" s="313"/>
      <c r="BX771" s="313"/>
      <c r="BY771" s="315"/>
    </row>
    <row r="772">
      <c r="BA772" s="313"/>
      <c r="BG772" s="313"/>
      <c r="BX772" s="313"/>
      <c r="BY772" s="315"/>
    </row>
    <row r="773">
      <c r="BA773" s="313"/>
      <c r="BG773" s="313"/>
      <c r="BX773" s="313"/>
      <c r="BY773" s="315"/>
    </row>
    <row r="774">
      <c r="BA774" s="313"/>
      <c r="BG774" s="313"/>
      <c r="BX774" s="313"/>
      <c r="BY774" s="315"/>
    </row>
    <row r="775">
      <c r="BA775" s="313"/>
      <c r="BG775" s="313"/>
      <c r="BX775" s="313"/>
      <c r="BY775" s="315"/>
    </row>
    <row r="776">
      <c r="BA776" s="313"/>
      <c r="BG776" s="313"/>
      <c r="BX776" s="313"/>
      <c r="BY776" s="315"/>
    </row>
    <row r="777">
      <c r="BA777" s="313"/>
      <c r="BG777" s="313"/>
      <c r="BX777" s="313"/>
      <c r="BY777" s="315"/>
    </row>
    <row r="778">
      <c r="BA778" s="313"/>
      <c r="BG778" s="313"/>
      <c r="BX778" s="313"/>
      <c r="BY778" s="315"/>
    </row>
    <row r="779">
      <c r="BA779" s="313"/>
      <c r="BG779" s="313"/>
      <c r="BX779" s="313"/>
      <c r="BY779" s="315"/>
    </row>
    <row r="780">
      <c r="BA780" s="313"/>
      <c r="BG780" s="313"/>
      <c r="BX780" s="313"/>
      <c r="BY780" s="315"/>
    </row>
    <row r="781">
      <c r="BA781" s="313"/>
      <c r="BG781" s="313"/>
      <c r="BX781" s="313"/>
      <c r="BY781" s="315"/>
    </row>
    <row r="782">
      <c r="BA782" s="313"/>
      <c r="BG782" s="313"/>
      <c r="BX782" s="313"/>
      <c r="BY782" s="315"/>
    </row>
    <row r="783">
      <c r="BA783" s="313"/>
      <c r="BG783" s="313"/>
      <c r="BX783" s="313"/>
      <c r="BY783" s="315"/>
    </row>
    <row r="784">
      <c r="BA784" s="313"/>
      <c r="BG784" s="313"/>
      <c r="BX784" s="313"/>
      <c r="BY784" s="315"/>
    </row>
    <row r="785">
      <c r="BA785" s="313"/>
      <c r="BG785" s="313"/>
      <c r="BX785" s="313"/>
      <c r="BY785" s="315"/>
    </row>
    <row r="786">
      <c r="BA786" s="313"/>
      <c r="BG786" s="313"/>
      <c r="BX786" s="313"/>
      <c r="BY786" s="315"/>
    </row>
    <row r="787">
      <c r="BA787" s="313"/>
      <c r="BG787" s="313"/>
      <c r="BX787" s="313"/>
      <c r="BY787" s="315"/>
    </row>
    <row r="788">
      <c r="BA788" s="313"/>
      <c r="BG788" s="313"/>
      <c r="BX788" s="313"/>
      <c r="BY788" s="315"/>
    </row>
    <row r="789">
      <c r="BA789" s="313"/>
      <c r="BG789" s="313"/>
      <c r="BX789" s="313"/>
      <c r="BY789" s="315"/>
    </row>
    <row r="790">
      <c r="BA790" s="313"/>
      <c r="BG790" s="313"/>
      <c r="BX790" s="313"/>
      <c r="BY790" s="315"/>
    </row>
    <row r="791">
      <c r="BA791" s="313"/>
      <c r="BG791" s="313"/>
      <c r="BX791" s="313"/>
      <c r="BY791" s="315"/>
    </row>
    <row r="792">
      <c r="BA792" s="313"/>
      <c r="BG792" s="313"/>
      <c r="BX792" s="313"/>
      <c r="BY792" s="315"/>
    </row>
    <row r="793">
      <c r="BA793" s="313"/>
      <c r="BG793" s="313"/>
      <c r="BX793" s="313"/>
      <c r="BY793" s="315"/>
    </row>
    <row r="794">
      <c r="BA794" s="313"/>
      <c r="BG794" s="313"/>
      <c r="BX794" s="313"/>
      <c r="BY794" s="315"/>
    </row>
    <row r="795">
      <c r="BA795" s="313"/>
      <c r="BG795" s="313"/>
      <c r="BX795" s="313"/>
      <c r="BY795" s="315"/>
    </row>
    <row r="796">
      <c r="BA796" s="313"/>
      <c r="BG796" s="313"/>
      <c r="BX796" s="313"/>
      <c r="BY796" s="315"/>
    </row>
    <row r="797">
      <c r="BA797" s="313"/>
      <c r="BG797" s="313"/>
      <c r="BX797" s="313"/>
      <c r="BY797" s="315"/>
    </row>
    <row r="798">
      <c r="BA798" s="313"/>
      <c r="BG798" s="313"/>
      <c r="BX798" s="313"/>
      <c r="BY798" s="315"/>
    </row>
    <row r="799">
      <c r="BA799" s="313"/>
      <c r="BG799" s="313"/>
      <c r="BX799" s="313"/>
      <c r="BY799" s="315"/>
    </row>
    <row r="800">
      <c r="BA800" s="313"/>
      <c r="BG800" s="313"/>
      <c r="BX800" s="313"/>
      <c r="BY800" s="315"/>
    </row>
    <row r="801">
      <c r="BA801" s="313"/>
      <c r="BG801" s="313"/>
      <c r="BX801" s="313"/>
      <c r="BY801" s="315"/>
    </row>
    <row r="802">
      <c r="BA802" s="313"/>
      <c r="BG802" s="313"/>
      <c r="BX802" s="313"/>
      <c r="BY802" s="315"/>
    </row>
    <row r="803">
      <c r="BA803" s="313"/>
      <c r="BG803" s="313"/>
      <c r="BX803" s="313"/>
      <c r="BY803" s="315"/>
    </row>
    <row r="804">
      <c r="BA804" s="313"/>
      <c r="BG804" s="313"/>
      <c r="BX804" s="313"/>
      <c r="BY804" s="315"/>
    </row>
    <row r="805">
      <c r="BA805" s="313"/>
      <c r="BG805" s="313"/>
      <c r="BX805" s="313"/>
      <c r="BY805" s="315"/>
    </row>
    <row r="806">
      <c r="BA806" s="313"/>
      <c r="BG806" s="313"/>
      <c r="BX806" s="313"/>
      <c r="BY806" s="315"/>
    </row>
    <row r="807">
      <c r="BA807" s="313"/>
      <c r="BG807" s="313"/>
      <c r="BX807" s="313"/>
      <c r="BY807" s="315"/>
    </row>
    <row r="808">
      <c r="BA808" s="313"/>
      <c r="BG808" s="313"/>
      <c r="BX808" s="313"/>
      <c r="BY808" s="315"/>
    </row>
    <row r="809">
      <c r="BA809" s="313"/>
      <c r="BG809" s="313"/>
      <c r="BX809" s="313"/>
      <c r="BY809" s="315"/>
    </row>
    <row r="810">
      <c r="BA810" s="313"/>
      <c r="BG810" s="313"/>
      <c r="BX810" s="313"/>
      <c r="BY810" s="315"/>
    </row>
    <row r="811">
      <c r="BA811" s="313"/>
      <c r="BG811" s="313"/>
      <c r="BX811" s="313"/>
      <c r="BY811" s="315"/>
    </row>
    <row r="812">
      <c r="BA812" s="313"/>
      <c r="BG812" s="313"/>
      <c r="BX812" s="313"/>
      <c r="BY812" s="315"/>
    </row>
    <row r="813">
      <c r="BA813" s="313"/>
      <c r="BG813" s="313"/>
      <c r="BX813" s="313"/>
      <c r="BY813" s="315"/>
    </row>
    <row r="814">
      <c r="BA814" s="313"/>
      <c r="BG814" s="313"/>
      <c r="BX814" s="313"/>
      <c r="BY814" s="315"/>
    </row>
    <row r="815">
      <c r="BA815" s="313"/>
      <c r="BG815" s="313"/>
      <c r="BX815" s="313"/>
      <c r="BY815" s="315"/>
    </row>
    <row r="816">
      <c r="BA816" s="313"/>
      <c r="BG816" s="313"/>
      <c r="BX816" s="313"/>
      <c r="BY816" s="315"/>
    </row>
    <row r="817">
      <c r="BA817" s="313"/>
      <c r="BG817" s="313"/>
      <c r="BX817" s="313"/>
      <c r="BY817" s="315"/>
    </row>
    <row r="818">
      <c r="BA818" s="313"/>
      <c r="BG818" s="313"/>
      <c r="BX818" s="313"/>
      <c r="BY818" s="315"/>
    </row>
    <row r="819">
      <c r="BA819" s="313"/>
      <c r="BG819" s="313"/>
      <c r="BX819" s="313"/>
      <c r="BY819" s="315"/>
    </row>
    <row r="820">
      <c r="BA820" s="313"/>
      <c r="BG820" s="313"/>
      <c r="BX820" s="313"/>
      <c r="BY820" s="315"/>
    </row>
    <row r="821">
      <c r="BA821" s="313"/>
      <c r="BG821" s="313"/>
      <c r="BX821" s="313"/>
      <c r="BY821" s="315"/>
    </row>
    <row r="822">
      <c r="BA822" s="313"/>
      <c r="BG822" s="313"/>
      <c r="BX822" s="313"/>
      <c r="BY822" s="315"/>
    </row>
    <row r="823">
      <c r="BA823" s="313"/>
      <c r="BG823" s="313"/>
      <c r="BX823" s="313"/>
      <c r="BY823" s="315"/>
    </row>
    <row r="824">
      <c r="BA824" s="313"/>
      <c r="BG824" s="313"/>
      <c r="BX824" s="313"/>
      <c r="BY824" s="315"/>
    </row>
    <row r="825">
      <c r="BA825" s="313"/>
      <c r="BG825" s="313"/>
      <c r="BX825" s="313"/>
      <c r="BY825" s="315"/>
    </row>
    <row r="826">
      <c r="BA826" s="313"/>
      <c r="BG826" s="313"/>
      <c r="BX826" s="313"/>
      <c r="BY826" s="315"/>
    </row>
    <row r="827">
      <c r="BA827" s="313"/>
      <c r="BG827" s="313"/>
      <c r="BX827" s="313"/>
      <c r="BY827" s="315"/>
    </row>
    <row r="828">
      <c r="BA828" s="313"/>
      <c r="BG828" s="313"/>
      <c r="BX828" s="313"/>
      <c r="BY828" s="315"/>
    </row>
    <row r="829">
      <c r="BA829" s="313"/>
      <c r="BG829" s="313"/>
      <c r="BX829" s="313"/>
      <c r="BY829" s="315"/>
    </row>
    <row r="830">
      <c r="BA830" s="313"/>
      <c r="BG830" s="313"/>
      <c r="BX830" s="313"/>
      <c r="BY830" s="315"/>
    </row>
    <row r="831">
      <c r="BA831" s="313"/>
      <c r="BG831" s="313"/>
      <c r="BX831" s="313"/>
      <c r="BY831" s="315"/>
    </row>
    <row r="832">
      <c r="BA832" s="313"/>
      <c r="BG832" s="313"/>
      <c r="BX832" s="313"/>
      <c r="BY832" s="315"/>
    </row>
    <row r="833">
      <c r="BA833" s="313"/>
      <c r="BG833" s="313"/>
      <c r="BX833" s="313"/>
      <c r="BY833" s="315"/>
    </row>
    <row r="834">
      <c r="BA834" s="313"/>
      <c r="BG834" s="313"/>
      <c r="BX834" s="313"/>
      <c r="BY834" s="315"/>
    </row>
    <row r="835">
      <c r="BA835" s="313"/>
      <c r="BG835" s="313"/>
      <c r="BX835" s="313"/>
      <c r="BY835" s="315"/>
    </row>
    <row r="836">
      <c r="BA836" s="313"/>
      <c r="BG836" s="313"/>
      <c r="BX836" s="313"/>
      <c r="BY836" s="315"/>
    </row>
    <row r="837">
      <c r="BA837" s="313"/>
      <c r="BG837" s="313"/>
      <c r="BX837" s="313"/>
      <c r="BY837" s="315"/>
    </row>
    <row r="838">
      <c r="BA838" s="313"/>
      <c r="BG838" s="313"/>
      <c r="BX838" s="313"/>
      <c r="BY838" s="315"/>
    </row>
    <row r="839">
      <c r="BA839" s="313"/>
      <c r="BG839" s="313"/>
      <c r="BX839" s="313"/>
      <c r="BY839" s="315"/>
    </row>
    <row r="840">
      <c r="BA840" s="313"/>
      <c r="BG840" s="313"/>
      <c r="BX840" s="313"/>
      <c r="BY840" s="315"/>
    </row>
    <row r="841">
      <c r="BA841" s="313"/>
      <c r="BG841" s="313"/>
      <c r="BX841" s="313"/>
      <c r="BY841" s="315"/>
    </row>
    <row r="842">
      <c r="BA842" s="313"/>
      <c r="BG842" s="313"/>
      <c r="BX842" s="313"/>
      <c r="BY842" s="315"/>
    </row>
    <row r="843">
      <c r="BA843" s="313"/>
      <c r="BG843" s="313"/>
      <c r="BX843" s="313"/>
      <c r="BY843" s="315"/>
    </row>
    <row r="844">
      <c r="BA844" s="313"/>
      <c r="BG844" s="313"/>
      <c r="BX844" s="313"/>
      <c r="BY844" s="315"/>
    </row>
    <row r="845">
      <c r="BA845" s="313"/>
      <c r="BG845" s="313"/>
      <c r="BX845" s="313"/>
      <c r="BY845" s="315"/>
    </row>
    <row r="846">
      <c r="BA846" s="313"/>
      <c r="BG846" s="313"/>
      <c r="BX846" s="313"/>
      <c r="BY846" s="315"/>
    </row>
    <row r="847">
      <c r="BA847" s="313"/>
      <c r="BG847" s="313"/>
      <c r="BX847" s="313"/>
      <c r="BY847" s="315"/>
    </row>
    <row r="848">
      <c r="BA848" s="313"/>
      <c r="BG848" s="313"/>
      <c r="BX848" s="313"/>
      <c r="BY848" s="315"/>
    </row>
    <row r="849">
      <c r="BA849" s="313"/>
      <c r="BG849" s="313"/>
      <c r="BX849" s="313"/>
      <c r="BY849" s="315"/>
    </row>
    <row r="850">
      <c r="BA850" s="313"/>
      <c r="BG850" s="313"/>
      <c r="BX850" s="313"/>
      <c r="BY850" s="315"/>
    </row>
    <row r="851">
      <c r="BA851" s="313"/>
      <c r="BG851" s="313"/>
      <c r="BX851" s="313"/>
      <c r="BY851" s="315"/>
    </row>
    <row r="852">
      <c r="BA852" s="313"/>
      <c r="BG852" s="313"/>
      <c r="BX852" s="313"/>
      <c r="BY852" s="315"/>
    </row>
    <row r="853">
      <c r="BA853" s="313"/>
      <c r="BG853" s="313"/>
      <c r="BX853" s="313"/>
      <c r="BY853" s="315"/>
    </row>
    <row r="854">
      <c r="BA854" s="313"/>
      <c r="BG854" s="313"/>
      <c r="BX854" s="313"/>
      <c r="BY854" s="315"/>
    </row>
    <row r="855">
      <c r="BA855" s="313"/>
      <c r="BG855" s="313"/>
      <c r="BX855" s="313"/>
      <c r="BY855" s="315"/>
    </row>
    <row r="856">
      <c r="BA856" s="313"/>
      <c r="BG856" s="313"/>
      <c r="BX856" s="313"/>
      <c r="BY856" s="315"/>
    </row>
    <row r="857">
      <c r="BA857" s="313"/>
      <c r="BG857" s="313"/>
      <c r="BX857" s="313"/>
      <c r="BY857" s="315"/>
    </row>
    <row r="858">
      <c r="BA858" s="313"/>
      <c r="BG858" s="313"/>
      <c r="BX858" s="313"/>
      <c r="BY858" s="315"/>
    </row>
    <row r="859">
      <c r="BA859" s="313"/>
      <c r="BG859" s="313"/>
      <c r="BX859" s="313"/>
      <c r="BY859" s="315"/>
    </row>
    <row r="860">
      <c r="BA860" s="313"/>
      <c r="BG860" s="313"/>
      <c r="BX860" s="313"/>
      <c r="BY860" s="315"/>
    </row>
    <row r="861">
      <c r="BA861" s="313"/>
      <c r="BG861" s="313"/>
      <c r="BX861" s="313"/>
      <c r="BY861" s="315"/>
    </row>
    <row r="862">
      <c r="BA862" s="313"/>
      <c r="BG862" s="313"/>
      <c r="BX862" s="313"/>
      <c r="BY862" s="315"/>
    </row>
    <row r="863">
      <c r="BA863" s="313"/>
      <c r="BG863" s="313"/>
      <c r="BX863" s="313"/>
      <c r="BY863" s="315"/>
    </row>
    <row r="864">
      <c r="BA864" s="313"/>
      <c r="BG864" s="313"/>
      <c r="BX864" s="313"/>
      <c r="BY864" s="315"/>
    </row>
    <row r="865">
      <c r="BA865" s="313"/>
      <c r="BG865" s="313"/>
      <c r="BX865" s="313"/>
      <c r="BY865" s="315"/>
    </row>
    <row r="866">
      <c r="BA866" s="313"/>
      <c r="BG866" s="313"/>
      <c r="BX866" s="313"/>
      <c r="BY866" s="315"/>
    </row>
    <row r="867">
      <c r="BA867" s="313"/>
      <c r="BG867" s="313"/>
      <c r="BX867" s="313"/>
      <c r="BY867" s="315"/>
    </row>
    <row r="868">
      <c r="BA868" s="313"/>
      <c r="BG868" s="313"/>
      <c r="BX868" s="313"/>
      <c r="BY868" s="315"/>
    </row>
    <row r="869">
      <c r="BA869" s="313"/>
      <c r="BG869" s="313"/>
      <c r="BX869" s="313"/>
      <c r="BY869" s="315"/>
    </row>
    <row r="870">
      <c r="BA870" s="313"/>
      <c r="BG870" s="313"/>
      <c r="BX870" s="313"/>
      <c r="BY870" s="315"/>
    </row>
    <row r="871">
      <c r="BA871" s="313"/>
      <c r="BG871" s="313"/>
      <c r="BX871" s="313"/>
      <c r="BY871" s="315"/>
    </row>
    <row r="872">
      <c r="BA872" s="313"/>
      <c r="BG872" s="313"/>
      <c r="BX872" s="313"/>
      <c r="BY872" s="315"/>
    </row>
    <row r="873">
      <c r="BA873" s="313"/>
      <c r="BG873" s="313"/>
      <c r="BX873" s="313"/>
      <c r="BY873" s="315"/>
    </row>
    <row r="874">
      <c r="BA874" s="313"/>
      <c r="BG874" s="313"/>
      <c r="BX874" s="313"/>
      <c r="BY874" s="315"/>
    </row>
    <row r="875">
      <c r="BA875" s="313"/>
      <c r="BG875" s="313"/>
      <c r="BX875" s="313"/>
      <c r="BY875" s="315"/>
    </row>
    <row r="876">
      <c r="BA876" s="313"/>
      <c r="BG876" s="313"/>
      <c r="BX876" s="313"/>
      <c r="BY876" s="315"/>
    </row>
    <row r="877">
      <c r="BA877" s="313"/>
      <c r="BG877" s="313"/>
      <c r="BX877" s="313"/>
      <c r="BY877" s="315"/>
    </row>
    <row r="878">
      <c r="BA878" s="313"/>
      <c r="BG878" s="313"/>
      <c r="BX878" s="313"/>
      <c r="BY878" s="315"/>
    </row>
    <row r="879">
      <c r="BA879" s="313"/>
      <c r="BG879" s="313"/>
      <c r="BX879" s="313"/>
      <c r="BY879" s="315"/>
    </row>
    <row r="880">
      <c r="BA880" s="313"/>
      <c r="BG880" s="313"/>
      <c r="BX880" s="313"/>
      <c r="BY880" s="315"/>
    </row>
    <row r="881">
      <c r="BA881" s="313"/>
      <c r="BG881" s="313"/>
      <c r="BX881" s="313"/>
      <c r="BY881" s="315"/>
    </row>
    <row r="882">
      <c r="BA882" s="313"/>
      <c r="BG882" s="313"/>
      <c r="BX882" s="313"/>
      <c r="BY882" s="315"/>
    </row>
    <row r="883">
      <c r="BA883" s="313"/>
      <c r="BG883" s="313"/>
      <c r="BX883" s="313"/>
      <c r="BY883" s="315"/>
    </row>
    <row r="884">
      <c r="BA884" s="313"/>
      <c r="BG884" s="313"/>
      <c r="BX884" s="313"/>
      <c r="BY884" s="315"/>
    </row>
    <row r="885">
      <c r="BA885" s="313"/>
      <c r="BG885" s="313"/>
      <c r="BX885" s="313"/>
      <c r="BY885" s="315"/>
    </row>
    <row r="886">
      <c r="BA886" s="313"/>
      <c r="BG886" s="313"/>
      <c r="BX886" s="313"/>
      <c r="BY886" s="315"/>
    </row>
    <row r="887">
      <c r="BA887" s="313"/>
      <c r="BG887" s="313"/>
      <c r="BX887" s="313"/>
      <c r="BY887" s="315"/>
    </row>
    <row r="888">
      <c r="BA888" s="313"/>
      <c r="BG888" s="313"/>
      <c r="BX888" s="313"/>
      <c r="BY888" s="315"/>
    </row>
    <row r="889">
      <c r="BA889" s="313"/>
      <c r="BG889" s="313"/>
      <c r="BX889" s="313"/>
      <c r="BY889" s="315"/>
    </row>
    <row r="890">
      <c r="BA890" s="313"/>
      <c r="BG890" s="313"/>
      <c r="BX890" s="313"/>
      <c r="BY890" s="315"/>
    </row>
    <row r="891">
      <c r="BA891" s="313"/>
      <c r="BG891" s="313"/>
      <c r="BX891" s="313"/>
      <c r="BY891" s="315"/>
    </row>
    <row r="892">
      <c r="BA892" s="313"/>
      <c r="BG892" s="313"/>
      <c r="BX892" s="313"/>
      <c r="BY892" s="315"/>
    </row>
    <row r="893">
      <c r="BA893" s="313"/>
      <c r="BG893" s="313"/>
      <c r="BX893" s="313"/>
      <c r="BY893" s="315"/>
    </row>
    <row r="894">
      <c r="BA894" s="313"/>
      <c r="BG894" s="313"/>
      <c r="BX894" s="313"/>
      <c r="BY894" s="315"/>
    </row>
    <row r="895">
      <c r="BA895" s="313"/>
      <c r="BG895" s="313"/>
      <c r="BX895" s="313"/>
      <c r="BY895" s="315"/>
    </row>
    <row r="896">
      <c r="BA896" s="313"/>
      <c r="BG896" s="313"/>
      <c r="BX896" s="313"/>
      <c r="BY896" s="315"/>
    </row>
    <row r="897">
      <c r="BA897" s="313"/>
      <c r="BG897" s="313"/>
      <c r="BX897" s="313"/>
      <c r="BY897" s="315"/>
    </row>
    <row r="898">
      <c r="BA898" s="313"/>
      <c r="BG898" s="313"/>
      <c r="BX898" s="313"/>
      <c r="BY898" s="315"/>
    </row>
    <row r="899">
      <c r="BA899" s="313"/>
      <c r="BG899" s="313"/>
      <c r="BX899" s="313"/>
      <c r="BY899" s="315"/>
    </row>
    <row r="900">
      <c r="BA900" s="313"/>
      <c r="BG900" s="313"/>
      <c r="BX900" s="313"/>
      <c r="BY900" s="315"/>
    </row>
    <row r="901">
      <c r="BA901" s="313"/>
      <c r="BG901" s="313"/>
      <c r="BX901" s="313"/>
      <c r="BY901" s="315"/>
    </row>
    <row r="902">
      <c r="BA902" s="313"/>
      <c r="BG902" s="313"/>
      <c r="BX902" s="313"/>
      <c r="BY902" s="315"/>
    </row>
    <row r="903">
      <c r="BA903" s="313"/>
      <c r="BG903" s="313"/>
      <c r="BX903" s="313"/>
      <c r="BY903" s="315"/>
    </row>
    <row r="904">
      <c r="BA904" s="313"/>
      <c r="BG904" s="313"/>
      <c r="BX904" s="313"/>
      <c r="BY904" s="315"/>
    </row>
    <row r="905">
      <c r="BA905" s="313"/>
      <c r="BG905" s="313"/>
      <c r="BX905" s="313"/>
      <c r="BY905" s="315"/>
    </row>
    <row r="906">
      <c r="BA906" s="313"/>
      <c r="BG906" s="313"/>
      <c r="BX906" s="313"/>
      <c r="BY906" s="315"/>
    </row>
    <row r="907">
      <c r="BA907" s="313"/>
      <c r="BG907" s="313"/>
      <c r="BX907" s="313"/>
      <c r="BY907" s="315"/>
    </row>
    <row r="908">
      <c r="BA908" s="313"/>
      <c r="BG908" s="313"/>
      <c r="BX908" s="313"/>
      <c r="BY908" s="315"/>
    </row>
    <row r="909">
      <c r="BA909" s="313"/>
      <c r="BG909" s="313"/>
      <c r="BX909" s="313"/>
      <c r="BY909" s="315"/>
    </row>
    <row r="910">
      <c r="BA910" s="313"/>
      <c r="BG910" s="313"/>
      <c r="BX910" s="313"/>
      <c r="BY910" s="315"/>
    </row>
    <row r="911">
      <c r="BA911" s="313"/>
      <c r="BG911" s="313"/>
      <c r="BX911" s="313"/>
      <c r="BY911" s="315"/>
    </row>
    <row r="912">
      <c r="BA912" s="313"/>
      <c r="BG912" s="313"/>
      <c r="BX912" s="313"/>
      <c r="BY912" s="315"/>
    </row>
    <row r="913">
      <c r="BA913" s="313"/>
      <c r="BG913" s="313"/>
      <c r="BX913" s="313"/>
      <c r="BY913" s="315"/>
    </row>
    <row r="914">
      <c r="BA914" s="313"/>
      <c r="BG914" s="313"/>
      <c r="BX914" s="313"/>
      <c r="BY914" s="315"/>
    </row>
    <row r="915">
      <c r="BA915" s="313"/>
      <c r="BG915" s="313"/>
      <c r="BX915" s="313"/>
      <c r="BY915" s="315"/>
    </row>
    <row r="916">
      <c r="BA916" s="313"/>
      <c r="BG916" s="313"/>
      <c r="BX916" s="313"/>
      <c r="BY916" s="315"/>
    </row>
    <row r="917">
      <c r="BA917" s="313"/>
      <c r="BG917" s="313"/>
      <c r="BX917" s="313"/>
      <c r="BY917" s="315"/>
    </row>
    <row r="918">
      <c r="BA918" s="313"/>
      <c r="BG918" s="313"/>
      <c r="BX918" s="313"/>
      <c r="BY918" s="315"/>
    </row>
    <row r="919">
      <c r="BA919" s="313"/>
      <c r="BG919" s="313"/>
      <c r="BX919" s="313"/>
      <c r="BY919" s="315"/>
    </row>
    <row r="920">
      <c r="BA920" s="313"/>
      <c r="BG920" s="313"/>
      <c r="BX920" s="313"/>
      <c r="BY920" s="315"/>
    </row>
    <row r="921">
      <c r="BA921" s="313"/>
      <c r="BG921" s="313"/>
      <c r="BX921" s="313"/>
      <c r="BY921" s="315"/>
    </row>
    <row r="922">
      <c r="BA922" s="313"/>
      <c r="BG922" s="313"/>
      <c r="BX922" s="313"/>
      <c r="BY922" s="315"/>
    </row>
    <row r="923">
      <c r="BA923" s="313"/>
      <c r="BG923" s="313"/>
      <c r="BX923" s="313"/>
      <c r="BY923" s="315"/>
    </row>
    <row r="924">
      <c r="BA924" s="313"/>
      <c r="BG924" s="313"/>
      <c r="BX924" s="313"/>
      <c r="BY924" s="315"/>
    </row>
    <row r="925">
      <c r="BA925" s="313"/>
      <c r="BG925" s="313"/>
      <c r="BX925" s="313"/>
      <c r="BY925" s="315"/>
    </row>
    <row r="926">
      <c r="BA926" s="313"/>
      <c r="BG926" s="313"/>
      <c r="BX926" s="313"/>
      <c r="BY926" s="315"/>
    </row>
    <row r="927">
      <c r="BA927" s="313"/>
      <c r="BG927" s="313"/>
      <c r="BX927" s="313"/>
      <c r="BY927" s="315"/>
    </row>
    <row r="928">
      <c r="BA928" s="313"/>
      <c r="BG928" s="313"/>
      <c r="BX928" s="313"/>
      <c r="BY928" s="315"/>
    </row>
    <row r="929">
      <c r="BA929" s="313"/>
      <c r="BG929" s="313"/>
      <c r="BX929" s="313"/>
      <c r="BY929" s="315"/>
    </row>
    <row r="930">
      <c r="BA930" s="313"/>
      <c r="BG930" s="313"/>
      <c r="BX930" s="313"/>
      <c r="BY930" s="315"/>
    </row>
    <row r="931">
      <c r="BA931" s="313"/>
      <c r="BG931" s="313"/>
      <c r="BX931" s="313"/>
      <c r="BY931" s="315"/>
    </row>
    <row r="932">
      <c r="BA932" s="313"/>
      <c r="BG932" s="313"/>
      <c r="BX932" s="313"/>
      <c r="BY932" s="315"/>
    </row>
    <row r="933">
      <c r="BA933" s="313"/>
      <c r="BG933" s="313"/>
      <c r="BX933" s="313"/>
      <c r="BY933" s="315"/>
    </row>
    <row r="934">
      <c r="BA934" s="313"/>
      <c r="BG934" s="313"/>
      <c r="BX934" s="313"/>
      <c r="BY934" s="315"/>
    </row>
    <row r="935">
      <c r="BA935" s="313"/>
      <c r="BG935" s="313"/>
      <c r="BX935" s="313"/>
      <c r="BY935" s="315"/>
    </row>
    <row r="936">
      <c r="BA936" s="313"/>
      <c r="BG936" s="313"/>
      <c r="BX936" s="313"/>
      <c r="BY936" s="315"/>
    </row>
    <row r="937">
      <c r="BA937" s="313"/>
      <c r="BG937" s="313"/>
      <c r="BX937" s="313"/>
      <c r="BY937" s="315"/>
    </row>
    <row r="938">
      <c r="BA938" s="313"/>
      <c r="BG938" s="313"/>
      <c r="BX938" s="313"/>
      <c r="BY938" s="315"/>
    </row>
    <row r="939">
      <c r="BA939" s="313"/>
      <c r="BG939" s="313"/>
      <c r="BX939" s="313"/>
      <c r="BY939" s="315"/>
    </row>
    <row r="940">
      <c r="BA940" s="313"/>
      <c r="BG940" s="313"/>
      <c r="BX940" s="313"/>
      <c r="BY940" s="315"/>
    </row>
    <row r="941">
      <c r="BA941" s="313"/>
      <c r="BG941" s="313"/>
      <c r="BX941" s="313"/>
      <c r="BY941" s="315"/>
    </row>
    <row r="942">
      <c r="BA942" s="313"/>
      <c r="BG942" s="313"/>
      <c r="BX942" s="313"/>
      <c r="BY942" s="315"/>
    </row>
    <row r="943">
      <c r="BA943" s="313"/>
      <c r="BG943" s="313"/>
      <c r="BX943" s="313"/>
      <c r="BY943" s="315"/>
    </row>
    <row r="944">
      <c r="BA944" s="313"/>
      <c r="BG944" s="313"/>
      <c r="BX944" s="313"/>
      <c r="BY944" s="315"/>
    </row>
    <row r="945">
      <c r="BA945" s="313"/>
      <c r="BG945" s="313"/>
      <c r="BX945" s="313"/>
      <c r="BY945" s="315"/>
    </row>
    <row r="946">
      <c r="BA946" s="313"/>
      <c r="BG946" s="313"/>
      <c r="BX946" s="313"/>
      <c r="BY946" s="315"/>
    </row>
    <row r="947">
      <c r="BA947" s="313"/>
      <c r="BG947" s="313"/>
      <c r="BX947" s="313"/>
      <c r="BY947" s="315"/>
    </row>
    <row r="948">
      <c r="BA948" s="313"/>
      <c r="BG948" s="313"/>
      <c r="BX948" s="313"/>
      <c r="BY948" s="315"/>
    </row>
    <row r="949">
      <c r="BA949" s="313"/>
      <c r="BG949" s="313"/>
      <c r="BX949" s="313"/>
      <c r="BY949" s="315"/>
    </row>
    <row r="950">
      <c r="BA950" s="313"/>
      <c r="BG950" s="313"/>
      <c r="BX950" s="313"/>
      <c r="BY950" s="315"/>
    </row>
    <row r="951">
      <c r="BA951" s="313"/>
      <c r="BG951" s="313"/>
      <c r="BX951" s="313"/>
      <c r="BY951" s="315"/>
    </row>
    <row r="952">
      <c r="BA952" s="313"/>
      <c r="BG952" s="313"/>
      <c r="BX952" s="313"/>
      <c r="BY952" s="315"/>
    </row>
    <row r="953">
      <c r="BA953" s="313"/>
      <c r="BG953" s="313"/>
      <c r="BX953" s="313"/>
      <c r="BY953" s="315"/>
    </row>
    <row r="954">
      <c r="BA954" s="313"/>
      <c r="BG954" s="313"/>
      <c r="BX954" s="313"/>
      <c r="BY954" s="315"/>
    </row>
    <row r="955">
      <c r="BA955" s="313"/>
      <c r="BG955" s="313"/>
      <c r="BX955" s="313"/>
      <c r="BY955" s="315"/>
    </row>
    <row r="956">
      <c r="BA956" s="313"/>
      <c r="BG956" s="313"/>
      <c r="BX956" s="313"/>
      <c r="BY956" s="315"/>
    </row>
    <row r="957">
      <c r="BA957" s="313"/>
      <c r="BG957" s="313"/>
      <c r="BX957" s="313"/>
      <c r="BY957" s="315"/>
    </row>
    <row r="958">
      <c r="BA958" s="313"/>
      <c r="BG958" s="313"/>
      <c r="BX958" s="313"/>
      <c r="BY958" s="315"/>
    </row>
    <row r="959">
      <c r="BA959" s="313"/>
      <c r="BG959" s="313"/>
      <c r="BX959" s="313"/>
      <c r="BY959" s="315"/>
    </row>
    <row r="960">
      <c r="BA960" s="313"/>
      <c r="BG960" s="313"/>
      <c r="BX960" s="313"/>
      <c r="BY960" s="315"/>
    </row>
    <row r="961">
      <c r="BA961" s="313"/>
      <c r="BG961" s="313"/>
      <c r="BX961" s="313"/>
      <c r="BY961" s="315"/>
    </row>
    <row r="962">
      <c r="BA962" s="313"/>
      <c r="BG962" s="313"/>
      <c r="BX962" s="313"/>
      <c r="BY962" s="315"/>
    </row>
    <row r="963">
      <c r="BA963" s="313"/>
      <c r="BG963" s="313"/>
      <c r="BX963" s="313"/>
      <c r="BY963" s="315"/>
    </row>
    <row r="964">
      <c r="BA964" s="313"/>
      <c r="BG964" s="313"/>
      <c r="BX964" s="313"/>
      <c r="BY964" s="315"/>
    </row>
    <row r="965">
      <c r="BA965" s="313"/>
      <c r="BG965" s="313"/>
      <c r="BX965" s="313"/>
      <c r="BY965" s="315"/>
    </row>
    <row r="966">
      <c r="BA966" s="313"/>
      <c r="BG966" s="313"/>
      <c r="BX966" s="313"/>
      <c r="BY966" s="315"/>
    </row>
    <row r="967">
      <c r="BA967" s="313"/>
      <c r="BG967" s="313"/>
      <c r="BX967" s="313"/>
      <c r="BY967" s="315"/>
    </row>
    <row r="968">
      <c r="BA968" s="313"/>
      <c r="BG968" s="313"/>
      <c r="BX968" s="313"/>
      <c r="BY968" s="315"/>
    </row>
    <row r="969">
      <c r="BA969" s="313"/>
      <c r="BG969" s="313"/>
      <c r="BX969" s="313"/>
      <c r="BY969" s="315"/>
    </row>
    <row r="970">
      <c r="BA970" s="313"/>
      <c r="BG970" s="313"/>
      <c r="BX970" s="313"/>
      <c r="BY970" s="315"/>
    </row>
    <row r="971">
      <c r="BA971" s="313"/>
      <c r="BG971" s="313"/>
      <c r="BX971" s="313"/>
      <c r="BY971" s="315"/>
    </row>
    <row r="972">
      <c r="BA972" s="313"/>
      <c r="BG972" s="313"/>
      <c r="BX972" s="313"/>
      <c r="BY972" s="315"/>
    </row>
    <row r="973">
      <c r="BA973" s="313"/>
      <c r="BG973" s="313"/>
      <c r="BX973" s="313"/>
      <c r="BY973" s="315"/>
    </row>
    <row r="974">
      <c r="BA974" s="313"/>
      <c r="BG974" s="313"/>
      <c r="BX974" s="313"/>
      <c r="BY974" s="315"/>
    </row>
    <row r="975">
      <c r="BA975" s="313"/>
      <c r="BG975" s="313"/>
      <c r="BX975" s="313"/>
      <c r="BY975" s="315"/>
    </row>
    <row r="976">
      <c r="BA976" s="313"/>
      <c r="BG976" s="313"/>
      <c r="BX976" s="313"/>
      <c r="BY976" s="315"/>
    </row>
    <row r="977">
      <c r="BA977" s="313"/>
      <c r="BG977" s="313"/>
      <c r="BX977" s="313"/>
      <c r="BY977" s="315"/>
    </row>
    <row r="978">
      <c r="BA978" s="313"/>
      <c r="BG978" s="313"/>
      <c r="BX978" s="313"/>
      <c r="BY978" s="315"/>
    </row>
    <row r="979">
      <c r="BA979" s="313"/>
      <c r="BG979" s="313"/>
      <c r="BX979" s="313"/>
      <c r="BY979" s="315"/>
    </row>
    <row r="980">
      <c r="BA980" s="313"/>
      <c r="BG980" s="313"/>
      <c r="BX980" s="313"/>
      <c r="BY980" s="315"/>
    </row>
    <row r="981">
      <c r="BA981" s="313"/>
      <c r="BG981" s="313"/>
      <c r="BX981" s="313"/>
      <c r="BY981" s="315"/>
    </row>
    <row r="982">
      <c r="BA982" s="313"/>
      <c r="BG982" s="313"/>
      <c r="BX982" s="313"/>
      <c r="BY982" s="315"/>
    </row>
    <row r="983">
      <c r="BA983" s="313"/>
      <c r="BG983" s="313"/>
      <c r="BX983" s="313"/>
      <c r="BY983" s="315"/>
    </row>
    <row r="984">
      <c r="BA984" s="313"/>
      <c r="BG984" s="313"/>
      <c r="BX984" s="313"/>
      <c r="BY984" s="315"/>
    </row>
    <row r="985">
      <c r="BA985" s="313"/>
      <c r="BG985" s="313"/>
      <c r="BX985" s="313"/>
      <c r="BY985" s="315"/>
    </row>
    <row r="986">
      <c r="BA986" s="313"/>
      <c r="BG986" s="313"/>
      <c r="BX986" s="313"/>
      <c r="BY986" s="315"/>
    </row>
    <row r="987">
      <c r="BA987" s="313"/>
      <c r="BG987" s="313"/>
      <c r="BX987" s="313"/>
      <c r="BY987" s="315"/>
    </row>
    <row r="988">
      <c r="BA988" s="313"/>
      <c r="BG988" s="313"/>
      <c r="BX988" s="313"/>
      <c r="BY988" s="315"/>
    </row>
    <row r="989">
      <c r="BA989" s="313"/>
      <c r="BG989" s="313"/>
      <c r="BX989" s="313"/>
      <c r="BY989" s="315"/>
    </row>
    <row r="990">
      <c r="BA990" s="313"/>
      <c r="BG990" s="313"/>
      <c r="BX990" s="313"/>
      <c r="BY990" s="315"/>
    </row>
    <row r="991">
      <c r="BA991" s="313"/>
      <c r="BG991" s="313"/>
      <c r="BX991" s="313"/>
      <c r="BY991" s="315"/>
    </row>
    <row r="992">
      <c r="BA992" s="313"/>
      <c r="BG992" s="313"/>
      <c r="BX992" s="313"/>
      <c r="BY992" s="315"/>
    </row>
    <row r="993">
      <c r="BA993" s="313"/>
      <c r="BG993" s="313"/>
      <c r="BX993" s="313"/>
      <c r="BY993" s="315"/>
    </row>
    <row r="994">
      <c r="BA994" s="313"/>
      <c r="BG994" s="313"/>
      <c r="BX994" s="313"/>
      <c r="BY994" s="315"/>
    </row>
    <row r="995">
      <c r="BA995" s="313"/>
      <c r="BG995" s="313"/>
      <c r="BX995" s="313"/>
      <c r="BY995" s="315"/>
    </row>
    <row r="996">
      <c r="BA996" s="313"/>
      <c r="BG996" s="313"/>
      <c r="BX996" s="313"/>
      <c r="BY996" s="315"/>
    </row>
    <row r="997">
      <c r="BA997" s="313"/>
      <c r="BG997" s="313"/>
      <c r="BX997" s="313"/>
      <c r="BY997" s="315"/>
    </row>
    <row r="998">
      <c r="BA998" s="313"/>
      <c r="BG998" s="313"/>
      <c r="BX998" s="313"/>
      <c r="BY998" s="315"/>
    </row>
    <row r="999">
      <c r="BA999" s="313"/>
      <c r="BG999" s="313"/>
      <c r="BX999" s="313"/>
      <c r="BY999" s="315"/>
    </row>
    <row r="1000">
      <c r="BA1000" s="313"/>
      <c r="BG1000" s="313"/>
      <c r="BX1000" s="313"/>
      <c r="BY1000" s="315"/>
    </row>
    <row r="1001">
      <c r="BA1001" s="313"/>
      <c r="BG1001" s="313"/>
      <c r="BX1001" s="313"/>
      <c r="BY1001" s="315"/>
    </row>
    <row r="1002">
      <c r="BA1002" s="313"/>
      <c r="BG1002" s="313"/>
      <c r="BX1002" s="313"/>
      <c r="BY1002" s="315"/>
    </row>
    <row r="1003">
      <c r="BA1003" s="313"/>
      <c r="BG1003" s="313"/>
      <c r="BX1003" s="313"/>
      <c r="BY1003" s="315"/>
    </row>
    <row r="1004">
      <c r="BA1004" s="313"/>
      <c r="BG1004" s="313"/>
      <c r="BX1004" s="313"/>
      <c r="BY1004" s="315"/>
    </row>
    <row r="1005">
      <c r="BA1005" s="313"/>
      <c r="BG1005" s="313"/>
      <c r="BX1005" s="313"/>
      <c r="BY1005" s="315"/>
    </row>
    <row r="1006">
      <c r="BA1006" s="313"/>
      <c r="BG1006" s="313"/>
      <c r="BX1006" s="313"/>
      <c r="BY1006" s="315"/>
    </row>
    <row r="1007">
      <c r="BA1007" s="313"/>
      <c r="BG1007" s="313"/>
      <c r="BX1007" s="313"/>
      <c r="BY1007" s="315"/>
    </row>
    <row r="1008">
      <c r="BA1008" s="313"/>
      <c r="BG1008" s="313"/>
      <c r="BX1008" s="313"/>
      <c r="BY1008" s="315"/>
    </row>
  </sheetData>
  <customSheetViews>
    <customSheetView guid="{66B9217E-5AE3-4E3D-93A7-9BAD8F79064D}" filter="1" showAutoFilter="1">
      <autoFilter ref="$BP$52:$BW$71"/>
    </customSheetView>
    <customSheetView guid="{7C8CC3EE-4087-4C26-BB8F-CAEAACA8C307}" filter="1" showAutoFilter="1">
      <autoFilter ref="$BR$52:$BW$71"/>
    </customSheetView>
  </customSheetViews>
  <mergeCells count="148">
    <mergeCell ref="U3:Y3"/>
    <mergeCell ref="Z3:AD3"/>
    <mergeCell ref="AE3:AJ3"/>
    <mergeCell ref="AK3:AO3"/>
    <mergeCell ref="AQ3:AU3"/>
    <mergeCell ref="AV3:AZ3"/>
    <mergeCell ref="BH3:BL3"/>
    <mergeCell ref="BN3:BP3"/>
    <mergeCell ref="BQ3:BS3"/>
    <mergeCell ref="BT3:BV3"/>
    <mergeCell ref="BB1:BB3"/>
    <mergeCell ref="BC1:BC3"/>
    <mergeCell ref="BM1:BM3"/>
    <mergeCell ref="J2:S2"/>
    <mergeCell ref="U2:AD2"/>
    <mergeCell ref="AE2:AO2"/>
    <mergeCell ref="AP2:AZ2"/>
    <mergeCell ref="F9:H9"/>
    <mergeCell ref="F10:H10"/>
    <mergeCell ref="F11:H11"/>
    <mergeCell ref="F12:H12"/>
    <mergeCell ref="F13:H13"/>
    <mergeCell ref="F14:H14"/>
    <mergeCell ref="J3:N3"/>
    <mergeCell ref="O3:S3"/>
    <mergeCell ref="D6:D8"/>
    <mergeCell ref="E6:E8"/>
    <mergeCell ref="F6:H6"/>
    <mergeCell ref="F7:H7"/>
    <mergeCell ref="F8:H8"/>
    <mergeCell ref="A15:A17"/>
    <mergeCell ref="A18:A20"/>
    <mergeCell ref="A21:A23"/>
    <mergeCell ref="A24:A26"/>
    <mergeCell ref="A27:A30"/>
    <mergeCell ref="A31:A33"/>
    <mergeCell ref="A34:A36"/>
    <mergeCell ref="A58:A60"/>
    <mergeCell ref="A61:A63"/>
    <mergeCell ref="A64:A66"/>
    <mergeCell ref="A67:A69"/>
    <mergeCell ref="A70:A72"/>
    <mergeCell ref="A37:A39"/>
    <mergeCell ref="A40:A42"/>
    <mergeCell ref="A43:A45"/>
    <mergeCell ref="A46:A48"/>
    <mergeCell ref="A49:A51"/>
    <mergeCell ref="A52:A54"/>
    <mergeCell ref="A55:A57"/>
    <mergeCell ref="F42:H42"/>
    <mergeCell ref="F43:H43"/>
    <mergeCell ref="F35:H35"/>
    <mergeCell ref="F36:H36"/>
    <mergeCell ref="F37:H37"/>
    <mergeCell ref="F38:H38"/>
    <mergeCell ref="F39:H39"/>
    <mergeCell ref="F40:H40"/>
    <mergeCell ref="F41:H41"/>
    <mergeCell ref="D40:D42"/>
    <mergeCell ref="E40:E42"/>
    <mergeCell ref="D43:D45"/>
    <mergeCell ref="E43:E45"/>
    <mergeCell ref="F44:H44"/>
    <mergeCell ref="D46:D48"/>
    <mergeCell ref="E46:E48"/>
    <mergeCell ref="F47:H47"/>
    <mergeCell ref="F48:H48"/>
    <mergeCell ref="F49:H49"/>
    <mergeCell ref="F50:H50"/>
    <mergeCell ref="F51:H51"/>
    <mergeCell ref="F52:H52"/>
    <mergeCell ref="F53:H53"/>
    <mergeCell ref="D58:D60"/>
    <mergeCell ref="D61:D63"/>
    <mergeCell ref="D64:D66"/>
    <mergeCell ref="D67:D69"/>
    <mergeCell ref="D70:D72"/>
    <mergeCell ref="F54:H54"/>
    <mergeCell ref="F55:H55"/>
    <mergeCell ref="F56:H56"/>
    <mergeCell ref="F57:H57"/>
    <mergeCell ref="F58:H58"/>
    <mergeCell ref="F59:H59"/>
    <mergeCell ref="F60:H60"/>
    <mergeCell ref="E61:E63"/>
    <mergeCell ref="E64:E66"/>
    <mergeCell ref="E67:E69"/>
    <mergeCell ref="E70:E72"/>
    <mergeCell ref="D49:D51"/>
    <mergeCell ref="E49:E51"/>
    <mergeCell ref="D52:D54"/>
    <mergeCell ref="E52:E54"/>
    <mergeCell ref="D55:D57"/>
    <mergeCell ref="E55:E57"/>
    <mergeCell ref="E58:E60"/>
    <mergeCell ref="F68:H68"/>
    <mergeCell ref="F69:H69"/>
    <mergeCell ref="F61:H61"/>
    <mergeCell ref="F62:H62"/>
    <mergeCell ref="F63:H63"/>
    <mergeCell ref="F64:H64"/>
    <mergeCell ref="F65:H65"/>
    <mergeCell ref="F66:H66"/>
    <mergeCell ref="F67:H67"/>
    <mergeCell ref="A6:A8"/>
    <mergeCell ref="A9:A11"/>
    <mergeCell ref="D9:D11"/>
    <mergeCell ref="E9:E11"/>
    <mergeCell ref="A12:A14"/>
    <mergeCell ref="E12:E14"/>
    <mergeCell ref="E15:E17"/>
    <mergeCell ref="D12:D14"/>
    <mergeCell ref="D15:D17"/>
    <mergeCell ref="F15:H15"/>
    <mergeCell ref="F16:H16"/>
    <mergeCell ref="F17:H17"/>
    <mergeCell ref="F18:H18"/>
    <mergeCell ref="F19:H19"/>
    <mergeCell ref="F20:H20"/>
    <mergeCell ref="F21:H21"/>
    <mergeCell ref="F22:H22"/>
    <mergeCell ref="F23:H23"/>
    <mergeCell ref="F24:H24"/>
    <mergeCell ref="F25:H25"/>
    <mergeCell ref="F26:H26"/>
    <mergeCell ref="D18:D20"/>
    <mergeCell ref="E18:E20"/>
    <mergeCell ref="D21:D23"/>
    <mergeCell ref="E21:E23"/>
    <mergeCell ref="D24:D26"/>
    <mergeCell ref="E24:E26"/>
    <mergeCell ref="E27:E29"/>
    <mergeCell ref="F27:H27"/>
    <mergeCell ref="F28:H28"/>
    <mergeCell ref="F29:H29"/>
    <mergeCell ref="F31:H31"/>
    <mergeCell ref="F32:H32"/>
    <mergeCell ref="F33:H33"/>
    <mergeCell ref="F34:H34"/>
    <mergeCell ref="D27:D29"/>
    <mergeCell ref="D31:D33"/>
    <mergeCell ref="E31:E33"/>
    <mergeCell ref="D34:D36"/>
    <mergeCell ref="E34:E36"/>
    <mergeCell ref="D37:D39"/>
    <mergeCell ref="E37:E39"/>
    <mergeCell ref="F45:H45"/>
    <mergeCell ref="F46:H46"/>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2.75"/>
  <cols>
    <col customWidth="1" min="1" max="1" width="28.63"/>
    <col customWidth="1" min="2" max="2" width="13.0"/>
    <col customWidth="1" min="3" max="3" width="15.13"/>
    <col customWidth="1" min="4" max="4" width="28.75"/>
    <col customWidth="1" min="5" max="5" width="9.38"/>
    <col customWidth="1" min="6" max="6" width="11.88"/>
    <col customWidth="1" min="7" max="7" width="77.13"/>
    <col customWidth="1" min="8" max="8" width="13.0"/>
    <col customWidth="1" min="9" max="9" width="2.25"/>
    <col customWidth="1" min="10" max="10" width="8.88"/>
    <col customWidth="1" min="11" max="11" width="8.25"/>
    <col customWidth="1" min="12" max="12" width="28.75"/>
    <col customWidth="1" min="13" max="13" width="9.38"/>
    <col customWidth="1" min="14" max="14" width="11.88"/>
    <col customWidth="1" min="15" max="15" width="2.5"/>
    <col customWidth="1" min="16" max="16" width="8.63"/>
    <col customWidth="1" min="17" max="17" width="8.25"/>
    <col customWidth="1" min="18" max="18" width="28.75"/>
    <col customWidth="1" min="19" max="19" width="7.63"/>
    <col customWidth="1" min="20" max="20" width="8.0"/>
    <col customWidth="1" min="21" max="21" width="6.5"/>
  </cols>
  <sheetData>
    <row r="1">
      <c r="A1" s="21" t="s">
        <v>597</v>
      </c>
      <c r="B1" s="385">
        <v>23.0</v>
      </c>
      <c r="C1" s="21"/>
      <c r="D1" s="21" t="s">
        <v>601</v>
      </c>
      <c r="E1" s="387"/>
    </row>
    <row r="2">
      <c r="A2" s="21" t="s">
        <v>602</v>
      </c>
      <c r="B2" s="394" t="s">
        <v>603</v>
      </c>
      <c r="C2" s="3"/>
      <c r="D2" s="3"/>
      <c r="E2" s="5"/>
    </row>
    <row r="3">
      <c r="A3" s="109"/>
      <c r="B3" s="109"/>
      <c r="C3" s="109"/>
      <c r="D3" s="109"/>
      <c r="E3" s="109"/>
      <c r="F3" s="109"/>
      <c r="G3" s="109"/>
      <c r="H3" s="109"/>
      <c r="I3" s="109"/>
      <c r="J3" s="109"/>
      <c r="K3" s="109"/>
      <c r="L3" s="109"/>
      <c r="M3" s="109"/>
      <c r="N3" s="109"/>
      <c r="O3" s="109"/>
      <c r="P3" s="109"/>
      <c r="Q3" s="109"/>
      <c r="R3" s="109"/>
      <c r="S3" s="109"/>
      <c r="T3" s="109"/>
      <c r="U3" s="109"/>
      <c r="V3" s="109"/>
    </row>
    <row r="4">
      <c r="A4" s="397" t="s">
        <v>604</v>
      </c>
      <c r="G4" s="397"/>
      <c r="H4" s="103" t="s">
        <v>605</v>
      </c>
      <c r="I4" s="109"/>
      <c r="J4" s="36" t="s">
        <v>606</v>
      </c>
      <c r="P4" s="399" t="s">
        <v>607</v>
      </c>
      <c r="V4" s="109"/>
    </row>
    <row r="5">
      <c r="A5" s="109"/>
      <c r="B5" s="109"/>
      <c r="C5" s="103"/>
      <c r="D5" s="109"/>
      <c r="E5" s="103"/>
      <c r="F5" s="103"/>
      <c r="G5" s="103"/>
      <c r="H5" s="109"/>
      <c r="I5" s="109"/>
      <c r="J5" s="109"/>
      <c r="K5" s="109"/>
      <c r="L5" s="109"/>
      <c r="M5" s="103"/>
      <c r="N5" s="103"/>
      <c r="P5" s="109"/>
      <c r="Q5" s="109"/>
      <c r="R5" s="109"/>
      <c r="S5" s="103"/>
      <c r="T5" s="103"/>
      <c r="U5" s="103"/>
      <c r="V5" s="109"/>
    </row>
    <row r="6">
      <c r="A6" s="109" t="s">
        <v>609</v>
      </c>
      <c r="B6" s="109" t="s">
        <v>610</v>
      </c>
      <c r="C6" s="103" t="s">
        <v>611</v>
      </c>
      <c r="D6" s="109" t="s">
        <v>612</v>
      </c>
      <c r="E6" s="103" t="s">
        <v>613</v>
      </c>
      <c r="F6" s="103" t="s">
        <v>614</v>
      </c>
      <c r="G6" s="103" t="s">
        <v>615</v>
      </c>
      <c r="H6" s="109"/>
      <c r="I6" s="109"/>
      <c r="J6" s="109" t="s">
        <v>609</v>
      </c>
      <c r="K6" s="109" t="s">
        <v>610</v>
      </c>
      <c r="L6" s="109" t="s">
        <v>612</v>
      </c>
      <c r="M6" s="103" t="s">
        <v>613</v>
      </c>
      <c r="N6" s="103" t="s">
        <v>614</v>
      </c>
      <c r="P6" s="109" t="s">
        <v>609</v>
      </c>
      <c r="Q6" s="109" t="s">
        <v>610</v>
      </c>
      <c r="R6" s="109" t="s">
        <v>612</v>
      </c>
      <c r="S6" s="103" t="s">
        <v>616</v>
      </c>
      <c r="T6" s="103" t="s">
        <v>617</v>
      </c>
      <c r="U6" s="103" t="s">
        <v>4</v>
      </c>
      <c r="V6" s="109"/>
    </row>
    <row r="7">
      <c r="A7" s="43" t="s">
        <v>618</v>
      </c>
      <c r="B7" s="43">
        <v>26.0</v>
      </c>
      <c r="C7" s="405"/>
      <c r="D7" s="406"/>
      <c r="E7" s="406"/>
      <c r="F7" s="43">
        <v>26.0</v>
      </c>
      <c r="G7" s="43" t="s">
        <v>619</v>
      </c>
      <c r="H7" s="103" t="s">
        <v>620</v>
      </c>
      <c r="I7" s="109"/>
      <c r="N7">
        <f>K7-M7</f>
        <v>0</v>
      </c>
      <c r="S7" s="109"/>
      <c r="T7" s="109"/>
      <c r="U7" s="109"/>
      <c r="V7" s="109"/>
    </row>
    <row r="8">
      <c r="A8" s="43" t="s">
        <v>621</v>
      </c>
      <c r="B8" s="43">
        <v>14.0</v>
      </c>
      <c r="C8" s="405"/>
      <c r="D8" s="406"/>
      <c r="E8" s="406"/>
      <c r="F8" s="43">
        <v>14.0</v>
      </c>
      <c r="G8" s="43" t="s">
        <v>619</v>
      </c>
      <c r="H8" s="109"/>
      <c r="I8" s="109"/>
      <c r="S8" s="109"/>
      <c r="T8" s="109"/>
      <c r="U8" s="109"/>
      <c r="V8" s="109"/>
    </row>
    <row r="9">
      <c r="A9" s="43" t="s">
        <v>623</v>
      </c>
      <c r="B9" s="43">
        <v>11.0</v>
      </c>
      <c r="C9" s="405"/>
      <c r="D9" s="406"/>
      <c r="E9" s="406"/>
      <c r="F9" s="43">
        <v>11.0</v>
      </c>
      <c r="G9" s="43" t="s">
        <v>619</v>
      </c>
      <c r="H9" s="109"/>
      <c r="I9" s="109"/>
      <c r="S9" s="109"/>
      <c r="T9" s="109"/>
      <c r="U9" s="109"/>
      <c r="V9" s="109"/>
    </row>
    <row r="10">
      <c r="A10" s="43" t="s">
        <v>624</v>
      </c>
      <c r="B10" s="43">
        <v>6.0</v>
      </c>
      <c r="C10" s="405"/>
      <c r="D10" s="406"/>
      <c r="E10" s="406"/>
      <c r="F10" s="43">
        <v>6.0</v>
      </c>
      <c r="G10" s="43" t="s">
        <v>619</v>
      </c>
    </row>
    <row r="11">
      <c r="A11" s="43" t="s">
        <v>625</v>
      </c>
      <c r="B11" s="43">
        <v>8.0</v>
      </c>
      <c r="C11" s="405"/>
      <c r="D11" s="406"/>
      <c r="E11" s="406"/>
      <c r="F11" s="43">
        <v>8.0</v>
      </c>
      <c r="G11" s="43" t="s">
        <v>619</v>
      </c>
      <c r="H11" s="33" t="s">
        <v>626</v>
      </c>
    </row>
    <row r="12">
      <c r="A12" s="43" t="s">
        <v>627</v>
      </c>
      <c r="B12" s="43">
        <v>3.0</v>
      </c>
      <c r="C12" s="405"/>
      <c r="D12" s="406"/>
      <c r="E12" s="406"/>
      <c r="F12" s="43">
        <v>3.0</v>
      </c>
      <c r="G12" s="43" t="s">
        <v>619</v>
      </c>
    </row>
    <row r="13">
      <c r="A13" s="43" t="s">
        <v>628</v>
      </c>
      <c r="B13" s="43">
        <v>2.0</v>
      </c>
      <c r="C13" s="405"/>
      <c r="D13" s="406"/>
      <c r="E13" s="406"/>
      <c r="F13" s="43">
        <v>2.0</v>
      </c>
      <c r="G13" s="43" t="s">
        <v>619</v>
      </c>
    </row>
    <row r="14">
      <c r="A14" s="43" t="s">
        <v>629</v>
      </c>
      <c r="B14" s="43">
        <v>16.0</v>
      </c>
      <c r="C14" s="405"/>
      <c r="D14" s="406"/>
      <c r="E14" s="406"/>
      <c r="F14" s="43">
        <v>16.0</v>
      </c>
      <c r="G14" s="43" t="s">
        <v>619</v>
      </c>
    </row>
    <row r="15">
      <c r="A15" s="43" t="s">
        <v>631</v>
      </c>
      <c r="B15" s="43">
        <v>2.0</v>
      </c>
      <c r="C15" s="405"/>
      <c r="D15" s="406"/>
      <c r="E15" s="406"/>
      <c r="F15" s="43">
        <v>2.0</v>
      </c>
      <c r="G15" s="43" t="s">
        <v>619</v>
      </c>
    </row>
    <row r="16">
      <c r="A16" s="43" t="s">
        <v>632</v>
      </c>
      <c r="B16" s="43">
        <v>8.0</v>
      </c>
      <c r="C16" s="414"/>
      <c r="D16" s="43" t="s">
        <v>633</v>
      </c>
      <c r="E16" s="406"/>
      <c r="F16" s="43">
        <v>8.0</v>
      </c>
      <c r="G16" s="43" t="s">
        <v>619</v>
      </c>
      <c r="H16" s="33" t="s">
        <v>634</v>
      </c>
    </row>
    <row r="17">
      <c r="A17" s="43" t="s">
        <v>635</v>
      </c>
      <c r="B17" s="43">
        <v>1.0</v>
      </c>
      <c r="C17" s="414"/>
      <c r="D17" s="43"/>
      <c r="E17" s="406"/>
      <c r="F17" s="43">
        <v>1.0</v>
      </c>
      <c r="G17" s="43" t="s">
        <v>619</v>
      </c>
    </row>
    <row r="18">
      <c r="A18" s="35" t="s">
        <v>636</v>
      </c>
      <c r="B18" s="35">
        <v>24.0</v>
      </c>
      <c r="C18" s="415"/>
      <c r="D18" s="74"/>
      <c r="E18" s="74"/>
      <c r="F18" s="35">
        <v>24.0</v>
      </c>
      <c r="G18" s="35" t="s">
        <v>637</v>
      </c>
      <c r="H18" s="33" t="s">
        <v>638</v>
      </c>
      <c r="I18" s="33" t="s">
        <v>639</v>
      </c>
    </row>
    <row r="19">
      <c r="A19" s="35" t="s">
        <v>640</v>
      </c>
      <c r="B19" s="35">
        <v>4.0</v>
      </c>
      <c r="C19" s="415"/>
      <c r="D19" s="74"/>
      <c r="E19" s="74"/>
      <c r="F19" s="35">
        <v>4.0</v>
      </c>
      <c r="G19" s="35" t="s">
        <v>637</v>
      </c>
    </row>
    <row r="20">
      <c r="A20" s="241" t="s">
        <v>641</v>
      </c>
      <c r="B20" s="241">
        <v>27.0</v>
      </c>
      <c r="C20" s="418"/>
      <c r="D20" s="241" t="s">
        <v>642</v>
      </c>
      <c r="E20" s="419"/>
      <c r="F20" s="241">
        <v>14.0</v>
      </c>
      <c r="G20" s="241" t="s">
        <v>643</v>
      </c>
      <c r="H20" s="33" t="s">
        <v>644</v>
      </c>
    </row>
    <row r="21">
      <c r="A21" s="241" t="s">
        <v>645</v>
      </c>
      <c r="B21" s="241">
        <v>14.0</v>
      </c>
      <c r="C21" s="418">
        <v>45329.0</v>
      </c>
      <c r="D21" s="241" t="s">
        <v>646</v>
      </c>
      <c r="E21" s="419"/>
      <c r="F21" s="241">
        <v>13.0</v>
      </c>
      <c r="G21" s="241" t="s">
        <v>643</v>
      </c>
    </row>
    <row r="22">
      <c r="A22" s="241" t="s">
        <v>647</v>
      </c>
      <c r="B22" s="241">
        <v>1.0</v>
      </c>
      <c r="C22" s="418"/>
      <c r="D22" s="241" t="s">
        <v>648</v>
      </c>
      <c r="E22" s="419"/>
      <c r="F22" s="241">
        <v>1.0</v>
      </c>
      <c r="G22" s="241" t="s">
        <v>643</v>
      </c>
    </row>
    <row r="23">
      <c r="A23" s="243" t="s">
        <v>649</v>
      </c>
      <c r="B23" s="243" t="s">
        <v>650</v>
      </c>
      <c r="C23" s="428"/>
      <c r="D23" s="243" t="s">
        <v>651</v>
      </c>
      <c r="E23" s="219"/>
      <c r="F23" s="243" t="s">
        <v>650</v>
      </c>
      <c r="G23" s="243" t="s">
        <v>652</v>
      </c>
    </row>
    <row r="24">
      <c r="A24" s="243" t="s">
        <v>653</v>
      </c>
      <c r="B24" s="243">
        <v>12.0</v>
      </c>
      <c r="C24" s="429"/>
      <c r="D24" s="219"/>
      <c r="E24" s="219"/>
      <c r="F24" s="243">
        <v>12.0</v>
      </c>
      <c r="G24" s="243" t="s">
        <v>654</v>
      </c>
    </row>
    <row r="25">
      <c r="A25" s="243" t="s">
        <v>655</v>
      </c>
      <c r="B25" s="243">
        <v>18.0</v>
      </c>
      <c r="C25" s="429"/>
      <c r="D25" s="219"/>
      <c r="E25" s="219"/>
      <c r="F25" s="243">
        <v>18.0</v>
      </c>
      <c r="G25" s="243" t="s">
        <v>654</v>
      </c>
      <c r="H25" s="33" t="s">
        <v>656</v>
      </c>
    </row>
    <row r="26">
      <c r="A26" s="243" t="s">
        <v>657</v>
      </c>
      <c r="B26" s="243">
        <v>24.0</v>
      </c>
      <c r="C26" s="429"/>
      <c r="D26" s="219"/>
      <c r="E26" s="219"/>
      <c r="F26" s="243">
        <v>24.0</v>
      </c>
      <c r="G26" s="243" t="s">
        <v>658</v>
      </c>
      <c r="H26" s="31">
        <v>0.0</v>
      </c>
    </row>
    <row r="27">
      <c r="A27" s="243" t="s">
        <v>659</v>
      </c>
      <c r="B27" s="243">
        <v>18.0</v>
      </c>
      <c r="C27" s="429"/>
      <c r="D27" s="219"/>
      <c r="E27" s="219"/>
      <c r="F27" s="243">
        <v>18.0</v>
      </c>
      <c r="G27" s="243" t="s">
        <v>660</v>
      </c>
    </row>
    <row r="28">
      <c r="A28" s="243" t="s">
        <v>661</v>
      </c>
      <c r="B28" s="243">
        <v>9.0</v>
      </c>
      <c r="C28" s="429"/>
      <c r="D28" s="219"/>
      <c r="E28" s="219"/>
      <c r="F28" s="243">
        <v>9.0</v>
      </c>
      <c r="G28" s="243" t="s">
        <v>660</v>
      </c>
    </row>
    <row r="29">
      <c r="A29" s="243" t="s">
        <v>662</v>
      </c>
      <c r="B29" s="243">
        <v>9.0</v>
      </c>
      <c r="C29" s="429"/>
      <c r="D29" s="219"/>
      <c r="E29" s="219"/>
      <c r="F29" s="243">
        <v>9.0</v>
      </c>
      <c r="G29" s="243" t="s">
        <v>660</v>
      </c>
    </row>
    <row r="30">
      <c r="A30" s="243" t="s">
        <v>663</v>
      </c>
      <c r="B30" s="243">
        <v>7.0</v>
      </c>
      <c r="C30" s="429"/>
      <c r="D30" s="219"/>
      <c r="E30" s="219"/>
      <c r="F30" s="243">
        <v>7.0</v>
      </c>
      <c r="G30" s="243" t="s">
        <v>660</v>
      </c>
    </row>
    <row r="31">
      <c r="A31" s="243" t="s">
        <v>664</v>
      </c>
      <c r="B31" s="243">
        <v>2.0</v>
      </c>
      <c r="C31" s="429"/>
      <c r="D31" s="219"/>
      <c r="E31" s="219"/>
      <c r="F31" s="243">
        <v>2.0</v>
      </c>
      <c r="G31" s="243" t="s">
        <v>660</v>
      </c>
    </row>
    <row r="32">
      <c r="A32" s="440" t="s">
        <v>665</v>
      </c>
      <c r="B32" s="440">
        <v>10.0</v>
      </c>
      <c r="C32" s="441"/>
      <c r="D32" s="442"/>
      <c r="E32" s="442"/>
      <c r="F32" s="440">
        <v>10.0</v>
      </c>
      <c r="G32" s="440" t="s">
        <v>666</v>
      </c>
    </row>
    <row r="33">
      <c r="A33" s="440" t="s">
        <v>667</v>
      </c>
      <c r="B33" s="440">
        <v>27.0</v>
      </c>
      <c r="C33" s="441"/>
      <c r="D33" s="442"/>
      <c r="E33" s="442"/>
      <c r="F33" s="440">
        <v>27.0</v>
      </c>
      <c r="G33" s="440" t="s">
        <v>666</v>
      </c>
    </row>
    <row r="34">
      <c r="A34" s="43" t="s">
        <v>668</v>
      </c>
      <c r="B34" s="43">
        <v>5.0</v>
      </c>
      <c r="C34" s="414">
        <v>45329.0</v>
      </c>
      <c r="D34" s="406"/>
      <c r="E34" s="406"/>
      <c r="F34" s="43">
        <v>5.0</v>
      </c>
      <c r="G34" s="43" t="s">
        <v>669</v>
      </c>
      <c r="H34" s="31" t="s">
        <v>670</v>
      </c>
    </row>
    <row r="35">
      <c r="A35" s="43" t="s">
        <v>671</v>
      </c>
      <c r="B35" s="43">
        <v>1.0</v>
      </c>
      <c r="C35" s="414">
        <v>45329.0</v>
      </c>
      <c r="D35" s="406"/>
      <c r="E35" s="406"/>
      <c r="F35" s="43">
        <v>1.0</v>
      </c>
      <c r="G35" s="43" t="s">
        <v>669</v>
      </c>
    </row>
    <row r="36">
      <c r="A36" s="43" t="s">
        <v>672</v>
      </c>
      <c r="B36" s="43">
        <v>4.0</v>
      </c>
      <c r="C36" s="405"/>
      <c r="D36" s="406"/>
      <c r="E36" s="406"/>
      <c r="F36" s="43">
        <v>4.0</v>
      </c>
      <c r="G36" s="43" t="s">
        <v>669</v>
      </c>
      <c r="H36" s="31"/>
    </row>
    <row r="37">
      <c r="A37" s="43" t="s">
        <v>673</v>
      </c>
      <c r="B37" s="43">
        <v>1.0</v>
      </c>
      <c r="C37" s="405"/>
      <c r="D37" s="406"/>
      <c r="E37" s="406"/>
      <c r="F37" s="43">
        <v>1.0</v>
      </c>
      <c r="G37" s="43" t="s">
        <v>669</v>
      </c>
      <c r="H37" s="31"/>
    </row>
    <row r="38">
      <c r="A38" s="43" t="s">
        <v>674</v>
      </c>
      <c r="B38" s="43">
        <v>13.0</v>
      </c>
      <c r="C38" s="414"/>
      <c r="D38" s="43" t="s">
        <v>675</v>
      </c>
      <c r="E38" s="406"/>
      <c r="F38" s="43">
        <v>17.0</v>
      </c>
      <c r="G38" s="43" t="s">
        <v>669</v>
      </c>
      <c r="H38" s="31" t="s">
        <v>670</v>
      </c>
    </row>
    <row r="39">
      <c r="A39" s="105" t="s">
        <v>676</v>
      </c>
      <c r="B39" s="105">
        <v>4.0</v>
      </c>
      <c r="C39" s="445"/>
      <c r="D39" s="447"/>
      <c r="E39" s="447"/>
      <c r="F39" s="105">
        <v>4.0</v>
      </c>
      <c r="G39" s="105" t="s">
        <v>677</v>
      </c>
    </row>
    <row r="40">
      <c r="A40" s="105" t="s">
        <v>678</v>
      </c>
      <c r="B40" s="105">
        <v>1.0</v>
      </c>
      <c r="C40" s="445"/>
      <c r="D40" s="447"/>
      <c r="E40" s="447"/>
      <c r="F40" s="105">
        <v>1.0</v>
      </c>
      <c r="G40" s="105" t="s">
        <v>677</v>
      </c>
    </row>
    <row r="41">
      <c r="A41" s="105" t="s">
        <v>679</v>
      </c>
      <c r="B41" s="105" t="s">
        <v>680</v>
      </c>
      <c r="C41" s="445"/>
      <c r="D41" s="447"/>
      <c r="E41" s="447"/>
      <c r="F41" s="105" t="s">
        <v>680</v>
      </c>
      <c r="G41" s="105" t="s">
        <v>677</v>
      </c>
    </row>
    <row r="42">
      <c r="A42" s="105" t="s">
        <v>681</v>
      </c>
      <c r="B42" s="105" t="s">
        <v>680</v>
      </c>
      <c r="C42" s="445"/>
      <c r="D42" s="447"/>
      <c r="E42" s="447"/>
      <c r="F42" s="105" t="s">
        <v>680</v>
      </c>
      <c r="G42" s="105" t="s">
        <v>677</v>
      </c>
    </row>
    <row r="43">
      <c r="A43" s="105" t="s">
        <v>682</v>
      </c>
      <c r="B43" s="105">
        <v>56.0</v>
      </c>
      <c r="C43" s="445"/>
      <c r="D43" s="447"/>
      <c r="E43" s="447"/>
      <c r="F43" s="105">
        <v>56.0</v>
      </c>
      <c r="G43" s="105" t="s">
        <v>677</v>
      </c>
      <c r="H43" s="33" t="s">
        <v>683</v>
      </c>
    </row>
    <row r="44">
      <c r="A44" s="31" t="s">
        <v>684</v>
      </c>
      <c r="B44" s="31">
        <v>5.0</v>
      </c>
      <c r="C44" s="125">
        <v>45329.0</v>
      </c>
    </row>
    <row r="45">
      <c r="A45" s="31" t="s">
        <v>685</v>
      </c>
      <c r="B45" s="31">
        <v>5.0</v>
      </c>
      <c r="C45" s="125">
        <v>45329.0</v>
      </c>
    </row>
    <row r="46">
      <c r="A46" s="31" t="s">
        <v>686</v>
      </c>
      <c r="B46" s="31">
        <v>14.0</v>
      </c>
      <c r="C46" s="125">
        <v>45329.0</v>
      </c>
      <c r="D46" s="31" t="s">
        <v>687</v>
      </c>
    </row>
  </sheetData>
  <mergeCells count="5">
    <mergeCell ref="B2:E2"/>
    <mergeCell ref="A4:F4"/>
    <mergeCell ref="J4:N4"/>
    <mergeCell ref="P4:U4"/>
    <mergeCell ref="H34:H3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6.25"/>
    <col customWidth="1" min="2" max="2" width="42.88"/>
  </cols>
  <sheetData>
    <row r="1">
      <c r="A1" s="31" t="s">
        <v>689</v>
      </c>
      <c r="B1" s="498" t="s">
        <v>690</v>
      </c>
    </row>
    <row r="3">
      <c r="A3" s="31" t="s">
        <v>691</v>
      </c>
      <c r="B3" s="241" t="s">
        <v>692</v>
      </c>
    </row>
    <row r="4">
      <c r="A4" s="31" t="s">
        <v>693</v>
      </c>
      <c r="B4" s="241" t="s">
        <v>694</v>
      </c>
    </row>
  </sheetData>
  <drawing r:id="rId1"/>
</worksheet>
</file>